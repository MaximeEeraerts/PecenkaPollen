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eeraert\Dropbox\Werk\1EXTRA_PAPERS\2025_PecenkaPollen\"/>
    </mc:Choice>
  </mc:AlternateContent>
  <xr:revisionPtr revIDLastSave="0" documentId="13_ncr:1_{E4461B8B-A5C4-498E-899B-974D6203C8F1}" xr6:coauthVersionLast="47" xr6:coauthVersionMax="47" xr10:uidLastSave="{00000000-0000-0000-0000-000000000000}"/>
  <bookViews>
    <workbookView xWindow="-120" yWindow="-16320" windowWidth="29040" windowHeight="15720" xr2:uid="{CFA23504-1C12-4637-808C-8471FACA290E}"/>
  </bookViews>
  <sheets>
    <sheet name="Sheet1" sheetId="1" r:id="rId1"/>
  </sheets>
  <definedNames>
    <definedName name="_xlnm._FilterDatabase" localSheetId="0" hidden="1">Sheet1!$A$1:$AF$183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20" i="1"/>
  <c r="A21" i="1"/>
  <c r="A22" i="1"/>
  <c r="A23" i="1"/>
  <c r="A24" i="1"/>
  <c r="A25" i="1"/>
  <c r="A38" i="1"/>
  <c r="A39" i="1"/>
  <c r="A40" i="1"/>
  <c r="A41" i="1"/>
  <c r="A42" i="1"/>
  <c r="A43" i="1"/>
  <c r="A56" i="1"/>
  <c r="A57" i="1"/>
  <c r="A58" i="1"/>
  <c r="A59" i="1"/>
  <c r="A60" i="1"/>
  <c r="A61" i="1"/>
  <c r="A146" i="1"/>
  <c r="A147" i="1"/>
  <c r="A148" i="1"/>
  <c r="A149" i="1"/>
  <c r="A150" i="1"/>
  <c r="A151" i="1"/>
  <c r="A164" i="1"/>
  <c r="A165" i="1"/>
  <c r="A166" i="1"/>
  <c r="A167" i="1"/>
  <c r="A168" i="1"/>
  <c r="A169" i="1"/>
  <c r="A74" i="1"/>
  <c r="A75" i="1"/>
  <c r="A76" i="1"/>
  <c r="A77" i="1"/>
  <c r="A78" i="1"/>
  <c r="A79" i="1"/>
  <c r="A92" i="1"/>
  <c r="A93" i="1"/>
  <c r="A94" i="1"/>
  <c r="A95" i="1"/>
  <c r="A96" i="1"/>
  <c r="A97" i="1"/>
  <c r="A110" i="1"/>
  <c r="A111" i="1"/>
  <c r="A112" i="1"/>
  <c r="A113" i="1"/>
  <c r="A114" i="1"/>
  <c r="A115" i="1"/>
  <c r="A128" i="1"/>
  <c r="A129" i="1"/>
  <c r="A130" i="1"/>
  <c r="A131" i="1"/>
  <c r="A132" i="1"/>
  <c r="A133" i="1"/>
  <c r="A8" i="1"/>
  <c r="A9" i="1"/>
  <c r="A10" i="1"/>
  <c r="A11" i="1"/>
  <c r="A12" i="1"/>
  <c r="A13" i="1"/>
  <c r="A26" i="1"/>
  <c r="A27" i="1"/>
  <c r="A28" i="1"/>
  <c r="A29" i="1"/>
  <c r="A30" i="1"/>
  <c r="A31" i="1"/>
  <c r="A44" i="1"/>
  <c r="A45" i="1"/>
  <c r="A46" i="1"/>
  <c r="A47" i="1"/>
  <c r="A48" i="1"/>
  <c r="A49" i="1"/>
  <c r="A62" i="1"/>
  <c r="A63" i="1"/>
  <c r="A64" i="1"/>
  <c r="A65" i="1"/>
  <c r="A66" i="1"/>
  <c r="A67" i="1"/>
  <c r="A152" i="1"/>
  <c r="A153" i="1"/>
  <c r="A154" i="1"/>
  <c r="A155" i="1"/>
  <c r="A156" i="1"/>
  <c r="A157" i="1"/>
  <c r="A170" i="1"/>
  <c r="A171" i="1"/>
  <c r="A172" i="1"/>
  <c r="A173" i="1"/>
  <c r="A174" i="1"/>
  <c r="A175" i="1"/>
  <c r="A80" i="1"/>
  <c r="A81" i="1"/>
  <c r="A82" i="1"/>
  <c r="A83" i="1"/>
  <c r="A84" i="1"/>
  <c r="A85" i="1"/>
  <c r="A98" i="1"/>
  <c r="A99" i="1"/>
  <c r="A100" i="1"/>
  <c r="A101" i="1"/>
  <c r="A102" i="1"/>
  <c r="A103" i="1"/>
  <c r="A116" i="1"/>
  <c r="A117" i="1"/>
  <c r="A118" i="1"/>
  <c r="A119" i="1"/>
  <c r="A120" i="1"/>
  <c r="A121" i="1"/>
  <c r="A134" i="1"/>
  <c r="A135" i="1"/>
  <c r="A136" i="1"/>
  <c r="A137" i="1"/>
  <c r="A138" i="1"/>
  <c r="A139" i="1"/>
  <c r="A14" i="1"/>
  <c r="A15" i="1"/>
  <c r="A16" i="1"/>
  <c r="A17" i="1"/>
  <c r="A18" i="1"/>
  <c r="A19" i="1"/>
  <c r="A32" i="1"/>
  <c r="A33" i="1"/>
  <c r="A34" i="1"/>
  <c r="A35" i="1"/>
  <c r="A36" i="1"/>
  <c r="A37" i="1"/>
  <c r="A50" i="1"/>
  <c r="A51" i="1"/>
  <c r="A52" i="1"/>
  <c r="A53" i="1"/>
  <c r="A54" i="1"/>
  <c r="A55" i="1"/>
  <c r="A68" i="1"/>
  <c r="A69" i="1"/>
  <c r="A70" i="1"/>
  <c r="A71" i="1"/>
  <c r="A72" i="1"/>
  <c r="A73" i="1"/>
  <c r="A158" i="1"/>
  <c r="A159" i="1"/>
  <c r="A160" i="1"/>
  <c r="A161" i="1"/>
  <c r="A162" i="1"/>
  <c r="A163" i="1"/>
  <c r="A176" i="1"/>
  <c r="A177" i="1"/>
  <c r="A178" i="1"/>
  <c r="A179" i="1"/>
  <c r="A180" i="1"/>
  <c r="A181" i="1"/>
  <c r="A86" i="1"/>
  <c r="A87" i="1"/>
  <c r="A88" i="1"/>
  <c r="A89" i="1"/>
  <c r="A90" i="1"/>
  <c r="A91" i="1"/>
  <c r="A104" i="1"/>
  <c r="A105" i="1"/>
  <c r="A106" i="1"/>
  <c r="A107" i="1"/>
  <c r="A108" i="1"/>
  <c r="A109" i="1"/>
  <c r="A122" i="1"/>
  <c r="A123" i="1"/>
  <c r="A124" i="1"/>
  <c r="A125" i="1"/>
  <c r="A126" i="1"/>
  <c r="A127" i="1"/>
  <c r="A140" i="1"/>
  <c r="A141" i="1"/>
  <c r="A142" i="1"/>
  <c r="A143" i="1"/>
  <c r="A144" i="1"/>
  <c r="A145" i="1"/>
  <c r="A2" i="1"/>
  <c r="E3" i="1"/>
  <c r="E4" i="1"/>
  <c r="E5" i="1"/>
  <c r="E6" i="1"/>
  <c r="E7" i="1"/>
  <c r="E20" i="1"/>
  <c r="E21" i="1"/>
  <c r="E22" i="1"/>
  <c r="E23" i="1"/>
  <c r="E24" i="1"/>
  <c r="E25" i="1"/>
  <c r="E38" i="1"/>
  <c r="E39" i="1"/>
  <c r="E40" i="1"/>
  <c r="E41" i="1"/>
  <c r="E42" i="1"/>
  <c r="E43" i="1"/>
  <c r="E56" i="1"/>
  <c r="E57" i="1"/>
  <c r="E58" i="1"/>
  <c r="E59" i="1"/>
  <c r="E60" i="1"/>
  <c r="E61" i="1"/>
  <c r="E146" i="1"/>
  <c r="E147" i="1"/>
  <c r="E148" i="1"/>
  <c r="E149" i="1"/>
  <c r="E150" i="1"/>
  <c r="E151" i="1"/>
  <c r="E164" i="1"/>
  <c r="E165" i="1"/>
  <c r="E166" i="1"/>
  <c r="E167" i="1"/>
  <c r="E168" i="1"/>
  <c r="E169" i="1"/>
  <c r="E74" i="1"/>
  <c r="E75" i="1"/>
  <c r="E76" i="1"/>
  <c r="E77" i="1"/>
  <c r="E78" i="1"/>
  <c r="E79" i="1"/>
  <c r="E92" i="1"/>
  <c r="E93" i="1"/>
  <c r="E94" i="1"/>
  <c r="E95" i="1"/>
  <c r="E96" i="1"/>
  <c r="E97" i="1"/>
  <c r="E110" i="1"/>
  <c r="E111" i="1"/>
  <c r="E112" i="1"/>
  <c r="E113" i="1"/>
  <c r="E114" i="1"/>
  <c r="E115" i="1"/>
  <c r="E128" i="1"/>
  <c r="E129" i="1"/>
  <c r="E130" i="1"/>
  <c r="E131" i="1"/>
  <c r="E132" i="1"/>
  <c r="E133" i="1"/>
  <c r="E8" i="1"/>
  <c r="E9" i="1"/>
  <c r="E10" i="1"/>
  <c r="E11" i="1"/>
  <c r="E12" i="1"/>
  <c r="E13" i="1"/>
  <c r="E26" i="1"/>
  <c r="E27" i="1"/>
  <c r="E28" i="1"/>
  <c r="E29" i="1"/>
  <c r="E30" i="1"/>
  <c r="E31" i="1"/>
  <c r="E44" i="1"/>
  <c r="E45" i="1"/>
  <c r="E46" i="1"/>
  <c r="E47" i="1"/>
  <c r="E48" i="1"/>
  <c r="E49" i="1"/>
  <c r="E62" i="1"/>
  <c r="E63" i="1"/>
  <c r="E64" i="1"/>
  <c r="E65" i="1"/>
  <c r="E66" i="1"/>
  <c r="E67" i="1"/>
  <c r="E152" i="1"/>
  <c r="E153" i="1"/>
  <c r="E154" i="1"/>
  <c r="E155" i="1"/>
  <c r="E156" i="1"/>
  <c r="E157" i="1"/>
  <c r="E170" i="1"/>
  <c r="E171" i="1"/>
  <c r="E172" i="1"/>
  <c r="E173" i="1"/>
  <c r="E174" i="1"/>
  <c r="E175" i="1"/>
  <c r="E80" i="1"/>
  <c r="E81" i="1"/>
  <c r="E82" i="1"/>
  <c r="E83" i="1"/>
  <c r="E84" i="1"/>
  <c r="E85" i="1"/>
  <c r="E98" i="1"/>
  <c r="E99" i="1"/>
  <c r="E100" i="1"/>
  <c r="E101" i="1"/>
  <c r="E102" i="1"/>
  <c r="E103" i="1"/>
  <c r="E116" i="1"/>
  <c r="E117" i="1"/>
  <c r="E118" i="1"/>
  <c r="E119" i="1"/>
  <c r="E120" i="1"/>
  <c r="E121" i="1"/>
  <c r="E134" i="1"/>
  <c r="E135" i="1"/>
  <c r="E136" i="1"/>
  <c r="E137" i="1"/>
  <c r="E138" i="1"/>
  <c r="E139" i="1"/>
  <c r="E14" i="1"/>
  <c r="E15" i="1"/>
  <c r="E16" i="1"/>
  <c r="E17" i="1"/>
  <c r="E18" i="1"/>
  <c r="E19" i="1"/>
  <c r="E32" i="1"/>
  <c r="E33" i="1"/>
  <c r="E34" i="1"/>
  <c r="E35" i="1"/>
  <c r="E36" i="1"/>
  <c r="E37" i="1"/>
  <c r="E50" i="1"/>
  <c r="E51" i="1"/>
  <c r="E52" i="1"/>
  <c r="E53" i="1"/>
  <c r="E54" i="1"/>
  <c r="E55" i="1"/>
  <c r="E68" i="1"/>
  <c r="E69" i="1"/>
  <c r="E70" i="1"/>
  <c r="E71" i="1"/>
  <c r="E72" i="1"/>
  <c r="E73" i="1"/>
  <c r="E158" i="1"/>
  <c r="E159" i="1"/>
  <c r="E160" i="1"/>
  <c r="E161" i="1"/>
  <c r="E162" i="1"/>
  <c r="E163" i="1"/>
  <c r="E176" i="1"/>
  <c r="E177" i="1"/>
  <c r="E178" i="1"/>
  <c r="E179" i="1"/>
  <c r="E180" i="1"/>
  <c r="E181" i="1"/>
  <c r="E86" i="1"/>
  <c r="E87" i="1"/>
  <c r="E88" i="1"/>
  <c r="E89" i="1"/>
  <c r="E90" i="1"/>
  <c r="E91" i="1"/>
  <c r="E104" i="1"/>
  <c r="E105" i="1"/>
  <c r="E106" i="1"/>
  <c r="E107" i="1"/>
  <c r="E108" i="1"/>
  <c r="E109" i="1"/>
  <c r="E122" i="1"/>
  <c r="E123" i="1"/>
  <c r="E124" i="1"/>
  <c r="E125" i="1"/>
  <c r="E126" i="1"/>
  <c r="E127" i="1"/>
  <c r="E140" i="1"/>
  <c r="E141" i="1"/>
  <c r="E142" i="1"/>
  <c r="E143" i="1"/>
  <c r="E144" i="1"/>
  <c r="E145" i="1"/>
  <c r="E2" i="1"/>
  <c r="S145" i="1"/>
  <c r="S144" i="1"/>
  <c r="S143" i="1"/>
  <c r="S142" i="1"/>
  <c r="S141" i="1"/>
  <c r="S140" i="1"/>
  <c r="S127" i="1"/>
  <c r="S126" i="1"/>
  <c r="S125" i="1"/>
  <c r="S124" i="1"/>
  <c r="S123" i="1"/>
  <c r="S122" i="1"/>
  <c r="S109" i="1"/>
  <c r="S108" i="1"/>
  <c r="S107" i="1"/>
  <c r="S106" i="1"/>
  <c r="S105" i="1"/>
  <c r="S104" i="1"/>
  <c r="S91" i="1"/>
  <c r="S90" i="1"/>
  <c r="S89" i="1"/>
  <c r="S88" i="1"/>
  <c r="S87" i="1"/>
  <c r="S86" i="1"/>
  <c r="S181" i="1"/>
  <c r="S180" i="1"/>
  <c r="S179" i="1"/>
  <c r="S178" i="1"/>
  <c r="S177" i="1"/>
  <c r="S176" i="1"/>
  <c r="S163" i="1"/>
  <c r="S162" i="1"/>
  <c r="S161" i="1"/>
  <c r="S160" i="1"/>
  <c r="S159" i="1"/>
  <c r="S158" i="1"/>
  <c r="S73" i="1"/>
  <c r="S72" i="1"/>
  <c r="S71" i="1"/>
  <c r="S70" i="1"/>
  <c r="S69" i="1"/>
  <c r="S68" i="1"/>
  <c r="S55" i="1"/>
  <c r="S54" i="1"/>
  <c r="S53" i="1"/>
  <c r="S52" i="1"/>
  <c r="S51" i="1"/>
  <c r="S50" i="1"/>
  <c r="S37" i="1"/>
  <c r="S36" i="1"/>
  <c r="S35" i="1"/>
  <c r="S34" i="1"/>
  <c r="S33" i="1"/>
  <c r="S32" i="1"/>
  <c r="S19" i="1"/>
  <c r="S18" i="1"/>
  <c r="S17" i="1"/>
  <c r="S16" i="1"/>
  <c r="S15" i="1"/>
  <c r="S14" i="1"/>
  <c r="S139" i="1"/>
  <c r="S138" i="1"/>
  <c r="S137" i="1"/>
  <c r="S136" i="1"/>
  <c r="S135" i="1"/>
  <c r="S134" i="1"/>
  <c r="S121" i="1"/>
  <c r="S120" i="1"/>
  <c r="S119" i="1"/>
  <c r="S118" i="1"/>
  <c r="S117" i="1"/>
  <c r="S116" i="1"/>
  <c r="S103" i="1"/>
  <c r="S102" i="1"/>
  <c r="S101" i="1"/>
  <c r="S100" i="1"/>
  <c r="S99" i="1"/>
  <c r="S98" i="1"/>
  <c r="S85" i="1"/>
  <c r="S84" i="1"/>
  <c r="S83" i="1"/>
  <c r="S82" i="1"/>
  <c r="S81" i="1"/>
  <c r="S80" i="1"/>
  <c r="S175" i="1"/>
  <c r="S174" i="1"/>
  <c r="S173" i="1"/>
  <c r="S172" i="1"/>
  <c r="S171" i="1"/>
  <c r="S170" i="1"/>
  <c r="S157" i="1"/>
  <c r="S156" i="1"/>
  <c r="S155" i="1"/>
  <c r="S154" i="1"/>
  <c r="S153" i="1"/>
  <c r="S152" i="1"/>
  <c r="S67" i="1"/>
  <c r="S66" i="1"/>
  <c r="S65" i="1"/>
  <c r="S64" i="1"/>
  <c r="S63" i="1"/>
  <c r="S62" i="1"/>
  <c r="S49" i="1"/>
  <c r="S48" i="1"/>
  <c r="S47" i="1"/>
  <c r="S46" i="1"/>
  <c r="S45" i="1"/>
  <c r="S44" i="1"/>
  <c r="S31" i="1"/>
  <c r="S30" i="1"/>
  <c r="S29" i="1"/>
  <c r="S28" i="1"/>
  <c r="S27" i="1"/>
  <c r="S26" i="1"/>
  <c r="S13" i="1"/>
  <c r="S12" i="1"/>
  <c r="S11" i="1"/>
  <c r="S10" i="1"/>
  <c r="S9" i="1"/>
  <c r="S8" i="1"/>
  <c r="S133" i="1"/>
  <c r="S132" i="1"/>
  <c r="S131" i="1"/>
  <c r="S130" i="1"/>
  <c r="S129" i="1"/>
  <c r="S128" i="1"/>
  <c r="S115" i="1"/>
  <c r="S114" i="1"/>
  <c r="S113" i="1"/>
  <c r="S112" i="1"/>
  <c r="S111" i="1"/>
  <c r="S110" i="1"/>
  <c r="S97" i="1"/>
  <c r="S96" i="1"/>
  <c r="S95" i="1"/>
  <c r="S94" i="1"/>
  <c r="S93" i="1"/>
  <c r="S92" i="1"/>
  <c r="S79" i="1"/>
  <c r="S78" i="1"/>
  <c r="S77" i="1"/>
  <c r="S76" i="1"/>
  <c r="S75" i="1"/>
  <c r="S74" i="1"/>
  <c r="S169" i="1"/>
  <c r="S168" i="1"/>
  <c r="S167" i="1"/>
  <c r="S166" i="1"/>
  <c r="S165" i="1"/>
  <c r="S164" i="1"/>
  <c r="S151" i="1"/>
  <c r="S150" i="1"/>
  <c r="S149" i="1"/>
  <c r="S148" i="1"/>
  <c r="S147" i="1"/>
  <c r="S146" i="1"/>
  <c r="S61" i="1"/>
  <c r="S60" i="1"/>
  <c r="S59" i="1"/>
  <c r="S58" i="1"/>
  <c r="S57" i="1"/>
  <c r="S56" i="1"/>
  <c r="S43" i="1"/>
  <c r="S42" i="1"/>
  <c r="S41" i="1"/>
  <c r="S40" i="1"/>
  <c r="S39" i="1"/>
  <c r="S38" i="1"/>
  <c r="S25" i="1"/>
  <c r="S24" i="1"/>
  <c r="S23" i="1"/>
  <c r="S22" i="1"/>
  <c r="S21" i="1"/>
  <c r="S20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<sst xmlns="http://schemas.openxmlformats.org/spreadsheetml/2006/main" count="1112" uniqueCount="309">
  <si>
    <t>Year</t>
  </si>
  <si>
    <t>Site</t>
  </si>
  <si>
    <t>Treatment</t>
  </si>
  <si>
    <t>Date</t>
  </si>
  <si>
    <t>Time</t>
  </si>
  <si>
    <t>IMD</t>
  </si>
  <si>
    <t>CLOTH</t>
  </si>
  <si>
    <t>THIAM</t>
  </si>
  <si>
    <t>NEPAC</t>
  </si>
  <si>
    <t>CM</t>
  </si>
  <si>
    <t>IPM</t>
  </si>
  <si>
    <t>PPAC</t>
  </si>
  <si>
    <t>TPAC</t>
  </si>
  <si>
    <t>SEPAC</t>
  </si>
  <si>
    <t>SWPAC</t>
  </si>
  <si>
    <t>ProteinContent</t>
  </si>
  <si>
    <t>TotalProtein</t>
  </si>
  <si>
    <t>TotalWeight</t>
  </si>
  <si>
    <t>Time2</t>
  </si>
  <si>
    <t>Early July</t>
  </si>
  <si>
    <t>Late July</t>
  </si>
  <si>
    <t>Early August</t>
  </si>
  <si>
    <t>Late August</t>
  </si>
  <si>
    <t>Early September</t>
  </si>
  <si>
    <t>Late June</t>
  </si>
  <si>
    <t>Site_ID</t>
  </si>
  <si>
    <t>Crop_1km</t>
  </si>
  <si>
    <t>Crop_3km</t>
  </si>
  <si>
    <t>SNH_1km</t>
  </si>
  <si>
    <t>SNH_3km</t>
  </si>
  <si>
    <t>25/6/18</t>
  </si>
  <si>
    <t>9/7/18</t>
  </si>
  <si>
    <t>24/7/18</t>
  </si>
  <si>
    <t>8/8/18</t>
  </si>
  <si>
    <t>19/8/18</t>
  </si>
  <si>
    <t>7/9/18</t>
  </si>
  <si>
    <t>26/6/18</t>
  </si>
  <si>
    <t>10/7/18</t>
  </si>
  <si>
    <t>25/7/18</t>
  </si>
  <si>
    <t>6/8/18</t>
  </si>
  <si>
    <t>18/8/18</t>
  </si>
  <si>
    <t>5/9/18</t>
  </si>
  <si>
    <t>24/6/18</t>
  </si>
  <si>
    <t>12/7/18</t>
  </si>
  <si>
    <t>27/7/18</t>
  </si>
  <si>
    <t>9/8/18</t>
  </si>
  <si>
    <t>21/8/18</t>
  </si>
  <si>
    <t>4/9/18</t>
  </si>
  <si>
    <t>28/6/18</t>
  </si>
  <si>
    <t>11/7/18</t>
  </si>
  <si>
    <t>23/7/18</t>
  </si>
  <si>
    <t>10/8/18</t>
  </si>
  <si>
    <t>24/8/18</t>
  </si>
  <si>
    <t>9/9/18</t>
  </si>
  <si>
    <t>29/6/18</t>
  </si>
  <si>
    <t>13/7/18</t>
  </si>
  <si>
    <t>26/7/18</t>
  </si>
  <si>
    <t>7/8/18</t>
  </si>
  <si>
    <t>1/7/19</t>
  </si>
  <si>
    <t>10/7/19</t>
  </si>
  <si>
    <t>22/7/19</t>
  </si>
  <si>
    <t>8/8/19</t>
  </si>
  <si>
    <t>22/8/19</t>
  </si>
  <si>
    <t>6/9/19</t>
  </si>
  <si>
    <t>26/6/19</t>
  </si>
  <si>
    <t>9/7/19</t>
  </si>
  <si>
    <t>5/8/19</t>
  </si>
  <si>
    <t>19/8/19</t>
  </si>
  <si>
    <t>4/9/19</t>
  </si>
  <si>
    <t>24/7/19</t>
  </si>
  <si>
    <t>6/8/19</t>
  </si>
  <si>
    <t>21/8/19</t>
  </si>
  <si>
    <t>28/6/19</t>
  </si>
  <si>
    <t>12/7/19</t>
  </si>
  <si>
    <t>27/7/19</t>
  </si>
  <si>
    <t>9/8/29</t>
  </si>
  <si>
    <t>23/8/19</t>
  </si>
  <si>
    <t>5/9/19</t>
  </si>
  <si>
    <t>27/6/19</t>
  </si>
  <si>
    <t>11/7/19</t>
  </si>
  <si>
    <t>23/7/19</t>
  </si>
  <si>
    <t>7/8/19</t>
  </si>
  <si>
    <t>20/8/19</t>
  </si>
  <si>
    <t>3/9/19</t>
  </si>
  <si>
    <t>26/6/20</t>
  </si>
  <si>
    <t>8/7/20</t>
  </si>
  <si>
    <t>21/7/20</t>
  </si>
  <si>
    <t>5/8/20</t>
  </si>
  <si>
    <t>17/8/20</t>
  </si>
  <si>
    <t>3/9/20</t>
  </si>
  <si>
    <t>22/6/20</t>
  </si>
  <si>
    <t>6/7/20</t>
  </si>
  <si>
    <t>20/7/20</t>
  </si>
  <si>
    <t>3/8/20</t>
  </si>
  <si>
    <t>20/8/20</t>
  </si>
  <si>
    <t>1/9/20</t>
  </si>
  <si>
    <t>23/6/20</t>
  </si>
  <si>
    <t>7/7/20</t>
  </si>
  <si>
    <t>22/7/20</t>
  </si>
  <si>
    <t>6/8/20</t>
  </si>
  <si>
    <t>19/8/20</t>
  </si>
  <si>
    <t>31/8/20</t>
  </si>
  <si>
    <t>24/6/20</t>
  </si>
  <si>
    <t>10/7/20</t>
  </si>
  <si>
    <t>24/7/20</t>
  </si>
  <si>
    <t>4/8/20</t>
  </si>
  <si>
    <t>21/8/20</t>
  </si>
  <si>
    <t>4/9/20</t>
  </si>
  <si>
    <t>25/6/20</t>
  </si>
  <si>
    <t>9/7/20</t>
  </si>
  <si>
    <t>23/7/20</t>
  </si>
  <si>
    <t>7/8/20</t>
  </si>
  <si>
    <t>18/8/20</t>
  </si>
  <si>
    <t>2/9/20</t>
  </si>
  <si>
    <t>Time3</t>
  </si>
  <si>
    <t>Site_id</t>
  </si>
  <si>
    <t>Trifolium repens</t>
  </si>
  <si>
    <t>Glycine max</t>
  </si>
  <si>
    <t>SR</t>
  </si>
  <si>
    <t>H</t>
  </si>
  <si>
    <t>NEPAC_CM_2018_1</t>
  </si>
  <si>
    <t>NEPAC_CM_2018_2</t>
  </si>
  <si>
    <t>NEPAC_CM_2018_3</t>
  </si>
  <si>
    <t>NEPAC_CM_2018_4</t>
  </si>
  <si>
    <t>NEPAC_CM_2018_5</t>
  </si>
  <si>
    <t>NEPAC_CM_2018_6</t>
  </si>
  <si>
    <t>NEPAC_CM_2019_1</t>
  </si>
  <si>
    <t>NEPAC_CM_2019_2</t>
  </si>
  <si>
    <t>NEPAC_CM_2019_3</t>
  </si>
  <si>
    <t>NEPAC_CM_2019_4</t>
  </si>
  <si>
    <t>NEPAC_CM_2019_5</t>
  </si>
  <si>
    <t>NEPAC_CM_2019_6</t>
  </si>
  <si>
    <t>NEPAC_CM_2020_1</t>
  </si>
  <si>
    <t>NEPAC_CM_2020_2</t>
  </si>
  <si>
    <t>NEPAC_CM_2020_3</t>
  </si>
  <si>
    <t>NEPAC_CM_2020_4</t>
  </si>
  <si>
    <t>NEPAC_CM_2020_5</t>
  </si>
  <si>
    <t>NEPAC_CM_2020_6</t>
  </si>
  <si>
    <t>NEPAC_IPM_2018_1</t>
  </si>
  <si>
    <t>NEPAC_IPM_2018_2</t>
  </si>
  <si>
    <t>NEPAC_IPM_2018_3</t>
  </si>
  <si>
    <t>NEPAC_IPM_2018_4</t>
  </si>
  <si>
    <t>NEPAC_IPM_2018_5</t>
  </si>
  <si>
    <t>NEPAC_IPM_2018_6</t>
  </si>
  <si>
    <t>NEPAC_IPM_2019_1</t>
  </si>
  <si>
    <t>NEPAC_IPM_2019_2</t>
  </si>
  <si>
    <t>NEPAC_IPM_2019_3</t>
  </si>
  <si>
    <t>NEPAC_IPM_2019_4</t>
  </si>
  <si>
    <t>NEPAC_IPM_2019_5</t>
  </si>
  <si>
    <t>NEPAC_IPM_2019_6</t>
  </si>
  <si>
    <t>NEPAC_IPM_2020_1</t>
  </si>
  <si>
    <t>NEPAC_IPM_2020_2</t>
  </si>
  <si>
    <t>NEPAC_IPM_2020_3</t>
  </si>
  <si>
    <t>NEPAC_IPM_2020_4</t>
  </si>
  <si>
    <t>NEPAC_IPM_2020_5</t>
  </si>
  <si>
    <t>NEPAC_IPM_2020_6</t>
  </si>
  <si>
    <t>PPAC_CM_2018_1</t>
  </si>
  <si>
    <t>PPAC_CM_2018_2</t>
  </si>
  <si>
    <t>PPAC_CM_2018_3</t>
  </si>
  <si>
    <t>PPAC_CM_2018_4</t>
  </si>
  <si>
    <t>PPAC_CM_2018_5</t>
  </si>
  <si>
    <t>PPAC_CM_2018_6</t>
  </si>
  <si>
    <t>PPAC_CM_2019_1</t>
  </si>
  <si>
    <t>PPAC_CM_2019_2</t>
  </si>
  <si>
    <t>PPAC_CM_2019_3</t>
  </si>
  <si>
    <t>PPAC_CM_2019_4</t>
  </si>
  <si>
    <t>PPAC_CM_2019_5</t>
  </si>
  <si>
    <t>PPAC_CM_2019_6</t>
  </si>
  <si>
    <t>PPAC_CM_2020_1</t>
  </si>
  <si>
    <t>PPAC_CM_2020_2</t>
  </si>
  <si>
    <t>PPAC_CM_2020_3</t>
  </si>
  <si>
    <t>PPAC_CM_2020_4</t>
  </si>
  <si>
    <t>PPAC_CM_2020_5</t>
  </si>
  <si>
    <t>PPAC_CM_2020_6</t>
  </si>
  <si>
    <t>PPAC_IPM_2018_1</t>
  </si>
  <si>
    <t>PPAC_IPM_2018_2</t>
  </si>
  <si>
    <t>PPAC_IPM_2018_3</t>
  </si>
  <si>
    <t>PPAC_IPM_2018_4</t>
  </si>
  <si>
    <t>PPAC_IPM_2018_5</t>
  </si>
  <si>
    <t>PPAC_IPM_2018_6</t>
  </si>
  <si>
    <t>PPAC_IPM_2019_1</t>
  </si>
  <si>
    <t>PPAC_IPM_2019_2</t>
  </si>
  <si>
    <t>PPAC_IPM_2019_3</t>
  </si>
  <si>
    <t>PPAC_IPM_2019_4</t>
  </si>
  <si>
    <t>PPAC_IPM_2019_5</t>
  </si>
  <si>
    <t>PPAC_IPM_2019_6</t>
  </si>
  <si>
    <t>PPAC_IPM_2020_1</t>
  </si>
  <si>
    <t>PPAC_IPM_2020_2</t>
  </si>
  <si>
    <t>PPAC_IPM_2020_3</t>
  </si>
  <si>
    <t>PPAC_IPM_2020_4</t>
  </si>
  <si>
    <t>PPAC_IPM_2020_5</t>
  </si>
  <si>
    <t>PPAC_IPM_2020_6</t>
  </si>
  <si>
    <t>SEPAC_CM_2018_1</t>
  </si>
  <si>
    <t>SEPAC_CM_2018_2</t>
  </si>
  <si>
    <t>SEPAC_CM_2018_3</t>
  </si>
  <si>
    <t>SEPAC_CM_2018_4</t>
  </si>
  <si>
    <t>SEPAC_CM_2018_5</t>
  </si>
  <si>
    <t>SEPAC_CM_2018_6</t>
  </si>
  <si>
    <t>SEPAC_CM_2019_1</t>
  </si>
  <si>
    <t>SEPAC_CM_2019_2</t>
  </si>
  <si>
    <t>SEPAC_CM_2019_3</t>
  </si>
  <si>
    <t>SEPAC_CM_2019_4</t>
  </si>
  <si>
    <t>SEPAC_CM_2019_5</t>
  </si>
  <si>
    <t>SEPAC_CM_2019_6</t>
  </si>
  <si>
    <t>SEPAC_CM_2020_1</t>
  </si>
  <si>
    <t>SEPAC_CM_2020_2</t>
  </si>
  <si>
    <t>SEPAC_CM_2020_3</t>
  </si>
  <si>
    <t>SEPAC_CM_2020_4</t>
  </si>
  <si>
    <t>SEPAC_CM_2020_5</t>
  </si>
  <si>
    <t>SEPAC_CM_2020_6</t>
  </si>
  <si>
    <t>SEPAC_IPM_2018_1</t>
  </si>
  <si>
    <t>SEPAC_IPM_2018_2</t>
  </si>
  <si>
    <t>SEPAC_IPM_2018_3</t>
  </si>
  <si>
    <t>SEPAC_IPM_2018_4</t>
  </si>
  <si>
    <t>SEPAC_IPM_2018_5</t>
  </si>
  <si>
    <t>SEPAC_IPM_2018_6</t>
  </si>
  <si>
    <t>SEPAC_IPM_2019_1</t>
  </si>
  <si>
    <t>SEPAC_IPM_2019_2</t>
  </si>
  <si>
    <t>SEPAC_IPM_2019_3</t>
  </si>
  <si>
    <t>SEPAC_IPM_2019_4</t>
  </si>
  <si>
    <t>SEPAC_IPM_2019_5</t>
  </si>
  <si>
    <t>SEPAC_IPM_2019_6</t>
  </si>
  <si>
    <t>SEPAC_IPM_2020_1</t>
  </si>
  <si>
    <t>SEPAC_IPM_2020_2</t>
  </si>
  <si>
    <t>SEPAC_IPM_2020_3</t>
  </si>
  <si>
    <t>SEPAC_IPM_2020_4</t>
  </si>
  <si>
    <t>SEPAC_IPM_2020_5</t>
  </si>
  <si>
    <t>SEPAC_IPM_2020_6</t>
  </si>
  <si>
    <t>SWPAC_CM_2018_1</t>
  </si>
  <si>
    <t>SWPAC_CM_2018_2</t>
  </si>
  <si>
    <t>SWPAC_CM_2018_3</t>
  </si>
  <si>
    <t>SWPAC_CM_2018_4</t>
  </si>
  <si>
    <t>SWPAC_CM_2018_5</t>
  </si>
  <si>
    <t>SWPAC_CM_2018_6</t>
  </si>
  <si>
    <t>SWPAC_CM_2019_1</t>
  </si>
  <si>
    <t>SWPAC_CM_2019_2</t>
  </si>
  <si>
    <t>SWPAC_CM_2019_3</t>
  </si>
  <si>
    <t>SWPAC_CM_2019_4</t>
  </si>
  <si>
    <t>SWPAC_CM_2019_5</t>
  </si>
  <si>
    <t>SWPAC_CM_2019_6</t>
  </si>
  <si>
    <t>SWPAC_CM_2020_1</t>
  </si>
  <si>
    <t>SWPAC_CM_2020_2</t>
  </si>
  <si>
    <t>SWPAC_CM_2020_3</t>
  </si>
  <si>
    <t>SWPAC_CM_2020_4</t>
  </si>
  <si>
    <t>SWPAC_CM_2020_5</t>
  </si>
  <si>
    <t>SWPAC_CM_2020_6</t>
  </si>
  <si>
    <t>SWPAC_IPM_2018_1</t>
  </si>
  <si>
    <t>SWPAC_IPM_2018_2</t>
  </si>
  <si>
    <t>SWPAC_IPM_2018_3</t>
  </si>
  <si>
    <t>SWPAC_IPM_2018_4</t>
  </si>
  <si>
    <t>SWPAC_IPM_2018_5</t>
  </si>
  <si>
    <t>SWPAC_IPM_2018_6</t>
  </si>
  <si>
    <t>SWPAC_IPM_2019_1</t>
  </si>
  <si>
    <t>SWPAC_IPM_2019_2</t>
  </si>
  <si>
    <t>SWPAC_IPM_2019_3</t>
  </si>
  <si>
    <t>SWPAC_IPM_2019_4</t>
  </si>
  <si>
    <t>SWPAC_IPM_2019_5</t>
  </si>
  <si>
    <t>SWPAC_IPM_2019_6</t>
  </si>
  <si>
    <t>SWPAC_IPM_2020_1</t>
  </si>
  <si>
    <t>SWPAC_IPM_2020_2</t>
  </si>
  <si>
    <t>SWPAC_IPM_2020_3</t>
  </si>
  <si>
    <t>SWPAC_IPM_2020_4</t>
  </si>
  <si>
    <t>SWPAC_IPM_2020_5</t>
  </si>
  <si>
    <t>SWPAC_IPM_2020_6</t>
  </si>
  <si>
    <t>TPAC_CM_2018_1</t>
  </si>
  <si>
    <t>TPAC_CM_2018_2</t>
  </si>
  <si>
    <t>TPAC_CM_2018_3</t>
  </si>
  <si>
    <t>TPAC_CM_2018_4</t>
  </si>
  <si>
    <t>TPAC_CM_2018_5</t>
  </si>
  <si>
    <t>TPAC_CM_2018_6</t>
  </si>
  <si>
    <t>TPAC_CM_2019_1</t>
  </si>
  <si>
    <t>TPAC_CM_2019_2</t>
  </si>
  <si>
    <t>TPAC_CM_2019_3</t>
  </si>
  <si>
    <t>TPAC_CM_2019_4</t>
  </si>
  <si>
    <t>TPAC_CM_2019_5</t>
  </si>
  <si>
    <t>TPAC_CM_2019_6</t>
  </si>
  <si>
    <t>TPAC_CM_2020_1</t>
  </si>
  <si>
    <t>TPAC_CM_2020_2</t>
  </si>
  <si>
    <t>TPAC_CM_2020_3</t>
  </si>
  <si>
    <t>TPAC_CM_2020_4</t>
  </si>
  <si>
    <t>TPAC_CM_2020_5</t>
  </si>
  <si>
    <t>TPAC_CM_2020_6</t>
  </si>
  <si>
    <t>TPAC_IPM_2018_1</t>
  </si>
  <si>
    <t>TPAC_IPM_2018_2</t>
  </si>
  <si>
    <t>TPAC_IPM_2018_3</t>
  </si>
  <si>
    <t>TPAC_IPM_2018_4</t>
  </si>
  <si>
    <t>TPAC_IPM_2018_5</t>
  </si>
  <si>
    <t>TPAC_IPM_2018_6</t>
  </si>
  <si>
    <t>TPAC_IPM_2019_1</t>
  </si>
  <si>
    <t>TPAC_IPM_2019_2</t>
  </si>
  <si>
    <t>TPAC_IPM_2019_3</t>
  </si>
  <si>
    <t>TPAC_IPM_2019_4</t>
  </si>
  <si>
    <t>TPAC_IPM_2019_5</t>
  </si>
  <si>
    <t>TPAC_IPM_2019_6</t>
  </si>
  <si>
    <t>TPAC_IPM_2020_1</t>
  </si>
  <si>
    <t>TPAC_IPM_2020_2</t>
  </si>
  <si>
    <t>TPAC_IPM_2020_3</t>
  </si>
  <si>
    <t>TPAC_IPM_2020_4</t>
  </si>
  <si>
    <t>TPAC_IPM_2020_5</t>
  </si>
  <si>
    <t>TPAC_IPM_2020_6</t>
  </si>
  <si>
    <t>Site_id_plant</t>
  </si>
  <si>
    <t>Site_id2</t>
  </si>
  <si>
    <t>Clover</t>
  </si>
  <si>
    <t>Crop</t>
  </si>
  <si>
    <t>HerbaceousFlower</t>
  </si>
  <si>
    <t>Tree</t>
  </si>
  <si>
    <t>Weed</t>
  </si>
  <si>
    <t>Goldenrod</t>
  </si>
  <si>
    <t>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</si>
</sst>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5DAB-2F80-43D3-90DD-FF71F4373587}">
  <dimension ref="A1:AF181"/>
  <sheetViews>
    <sheetView tabSelected="1" workbookViewId="0">
      <selection activeCell="T1" activeCellId="1" sqref="A1:A1048576 T1:T1048576"/>
    </sheetView>
  </sheetViews>
  <sheetFormatPr defaultRowHeight="15" x14ac:dyDescent="0.25"/>
  <cols>
    <col min="1" max="1" width="18.140625" bestFit="1" customWidth="1"/>
    <col min="2" max="2" width="7.28515625" bestFit="1" customWidth="1"/>
    <col min="3" max="3" width="7.42578125" bestFit="1" customWidth="1"/>
    <col min="4" max="4" width="12.5703125" bestFit="1" customWidth="1"/>
    <col min="5" max="5" width="11.85546875" bestFit="1" customWidth="1"/>
    <col min="6" max="7" width="7.7109375" bestFit="1" customWidth="1"/>
    <col min="8" max="8" width="15.7109375" bestFit="1" customWidth="1"/>
    <col min="9" max="9" width="8.7109375" bestFit="1" customWidth="1"/>
    <col min="10" max="19" width="14.7109375" customWidth="1"/>
    <col min="20" max="20" width="19.140625" bestFit="1" customWidth="1"/>
    <col min="21" max="21" width="15.85546875" bestFit="1" customWidth="1"/>
    <col min="22" max="22" width="12" bestFit="1" customWidth="1"/>
    <col min="25" max="25" width="19.140625" bestFit="1" customWidth="1"/>
    <col min="26" max="27" width="12" bestFit="1" customWidth="1"/>
    <col min="28" max="28" width="20.140625" bestFit="1" customWidth="1"/>
    <col min="29" max="30" width="12" bestFit="1" customWidth="1"/>
    <col min="31" max="31" width="12.42578125" bestFit="1" customWidth="1"/>
    <col min="32" max="32" width="12" bestFit="1" customWidth="1"/>
  </cols>
  <sheetData>
    <row r="1" spans="1:32" x14ac:dyDescent="0.25">
      <c r="A1" s="2" t="s">
        <v>115</v>
      </c>
      <c r="B1" s="2" t="s">
        <v>0</v>
      </c>
      <c r="C1" s="2" t="s">
        <v>1</v>
      </c>
      <c r="D1" s="2" t="s">
        <v>2</v>
      </c>
      <c r="E1" s="2" t="s">
        <v>25</v>
      </c>
      <c r="F1" s="2" t="s">
        <v>3</v>
      </c>
      <c r="G1" s="2" t="s">
        <v>4</v>
      </c>
      <c r="H1" s="2" t="s">
        <v>18</v>
      </c>
      <c r="I1" s="2" t="s">
        <v>114</v>
      </c>
      <c r="J1" s="2" t="s">
        <v>26</v>
      </c>
      <c r="K1" s="2" t="s">
        <v>28</v>
      </c>
      <c r="L1" s="2" t="s">
        <v>27</v>
      </c>
      <c r="M1" s="2" t="s">
        <v>29</v>
      </c>
      <c r="N1" s="2" t="s">
        <v>5</v>
      </c>
      <c r="O1" s="2" t="s">
        <v>6</v>
      </c>
      <c r="P1" s="2" t="s">
        <v>7</v>
      </c>
      <c r="Q1" s="2" t="s">
        <v>17</v>
      </c>
      <c r="R1" s="2" t="s">
        <v>16</v>
      </c>
      <c r="S1" s="2" t="s">
        <v>15</v>
      </c>
      <c r="T1" s="2" t="s">
        <v>300</v>
      </c>
      <c r="U1" s="2" t="s">
        <v>116</v>
      </c>
      <c r="V1" s="2" t="s">
        <v>117</v>
      </c>
      <c r="W1" s="2" t="s">
        <v>118</v>
      </c>
      <c r="X1" s="2" t="s">
        <v>119</v>
      </c>
      <c r="Y1" s="2" t="s">
        <v>301</v>
      </c>
      <c r="Z1" s="2" t="s">
        <v>302</v>
      </c>
      <c r="AA1" s="2" t="s">
        <v>303</v>
      </c>
      <c r="AB1" s="2" t="s">
        <v>304</v>
      </c>
      <c r="AC1" s="2" t="s">
        <v>305</v>
      </c>
      <c r="AD1" s="2" t="s">
        <v>306</v>
      </c>
      <c r="AE1" s="2" t="s">
        <v>307</v>
      </c>
      <c r="AF1" s="2" t="s">
        <v>308</v>
      </c>
    </row>
    <row r="2" spans="1:32" x14ac:dyDescent="0.25">
      <c r="A2" t="str">
        <f>_xlfn.TEXTJOIN("_",TRUE,C2,D2,B2,G2)</f>
        <v>NEPAC_CM_2018_1</v>
      </c>
      <c r="B2">
        <v>2018</v>
      </c>
      <c r="C2" t="s">
        <v>8</v>
      </c>
      <c r="D2" t="s">
        <v>9</v>
      </c>
      <c r="E2" t="str">
        <f>_xlfn.TEXTJOIN("_",TRUE,C2:D2)</f>
        <v>NEPAC_CM</v>
      </c>
      <c r="F2" t="s">
        <v>30</v>
      </c>
      <c r="G2">
        <v>1</v>
      </c>
      <c r="H2" t="s">
        <v>24</v>
      </c>
      <c r="I2">
        <v>176</v>
      </c>
      <c r="J2" s="3">
        <v>71.195039458850061</v>
      </c>
      <c r="K2" s="3">
        <v>23.083427282976324</v>
      </c>
      <c r="L2" s="3">
        <v>69.741369741369738</v>
      </c>
      <c r="M2" s="3">
        <v>21.001221001220998</v>
      </c>
      <c r="N2">
        <v>30.186599999999999</v>
      </c>
      <c r="O2">
        <v>14.3093</v>
      </c>
      <c r="P2">
        <v>0</v>
      </c>
      <c r="Q2">
        <v>1.05</v>
      </c>
      <c r="R2">
        <v>36.32</v>
      </c>
      <c r="S2">
        <f>R2/Q2</f>
        <v>34.590476190476188</v>
      </c>
      <c r="T2" t="s">
        <v>120</v>
      </c>
      <c r="U2">
        <v>55.424586109316202</v>
      </c>
      <c r="V2">
        <v>0</v>
      </c>
      <c r="W2">
        <v>9</v>
      </c>
      <c r="X2">
        <v>1.7104597298317099</v>
      </c>
      <c r="Y2" t="s">
        <v>120</v>
      </c>
      <c r="Z2">
        <v>64.509013124178395</v>
      </c>
      <c r="AA2">
        <v>0.55482519663985397</v>
      </c>
      <c r="AB2">
        <v>21.569108046079499</v>
      </c>
      <c r="AC2">
        <v>9.29610731076896</v>
      </c>
      <c r="AD2">
        <v>0</v>
      </c>
      <c r="AE2">
        <v>0</v>
      </c>
      <c r="AF2">
        <v>0</v>
      </c>
    </row>
    <row r="3" spans="1:32" x14ac:dyDescent="0.25">
      <c r="A3" t="str">
        <f>_xlfn.TEXTJOIN("_",TRUE,C3,D3,B3,G3)</f>
        <v>NEPAC_CM_2018_2</v>
      </c>
      <c r="B3">
        <v>2018</v>
      </c>
      <c r="C3" t="s">
        <v>8</v>
      </c>
      <c r="D3" t="s">
        <v>9</v>
      </c>
      <c r="E3" t="str">
        <f>_xlfn.TEXTJOIN("_",TRUE,C3:D3)</f>
        <v>NEPAC_CM</v>
      </c>
      <c r="F3" t="s">
        <v>31</v>
      </c>
      <c r="G3">
        <v>2</v>
      </c>
      <c r="H3" t="s">
        <v>19</v>
      </c>
      <c r="I3">
        <v>190</v>
      </c>
      <c r="J3" s="3">
        <v>71.195039458850061</v>
      </c>
      <c r="K3" s="3">
        <v>23.083427282976324</v>
      </c>
      <c r="L3" s="3">
        <v>69.741369741369738</v>
      </c>
      <c r="M3" s="3">
        <v>21.001221001220998</v>
      </c>
      <c r="N3">
        <v>8.3079999999999998</v>
      </c>
      <c r="O3">
        <v>44.443300000000001</v>
      </c>
      <c r="P3">
        <v>1.5310999999999999</v>
      </c>
      <c r="Q3">
        <v>1.04</v>
      </c>
      <c r="R3">
        <v>63.21</v>
      </c>
      <c r="S3">
        <f>R3/Q3</f>
        <v>60.778846153846153</v>
      </c>
      <c r="T3" t="s">
        <v>121</v>
      </c>
      <c r="U3">
        <v>15.8286295550192</v>
      </c>
      <c r="V3">
        <v>15.9742306081337</v>
      </c>
      <c r="W3">
        <v>8</v>
      </c>
      <c r="X3">
        <v>1.7403351042511599</v>
      </c>
      <c r="Y3" t="s">
        <v>121</v>
      </c>
      <c r="Z3">
        <v>33.817340487065401</v>
      </c>
      <c r="AA3">
        <v>15.9742306081337</v>
      </c>
      <c r="AB3">
        <v>0.81975387438418701</v>
      </c>
      <c r="AC3">
        <v>21.2597482896863</v>
      </c>
      <c r="AD3">
        <v>27.011987155194799</v>
      </c>
      <c r="AE3">
        <v>0</v>
      </c>
      <c r="AF3">
        <v>0</v>
      </c>
    </row>
    <row r="4" spans="1:32" x14ac:dyDescent="0.25">
      <c r="A4" t="str">
        <f>_xlfn.TEXTJOIN("_",TRUE,C4,D4,B4,G4)</f>
        <v>NEPAC_CM_2018_3</v>
      </c>
      <c r="B4">
        <v>2018</v>
      </c>
      <c r="C4" t="s">
        <v>8</v>
      </c>
      <c r="D4" t="s">
        <v>9</v>
      </c>
      <c r="E4" t="str">
        <f>_xlfn.TEXTJOIN("_",TRUE,C4:D4)</f>
        <v>NEPAC_CM</v>
      </c>
      <c r="F4" t="s">
        <v>32</v>
      </c>
      <c r="G4">
        <v>3</v>
      </c>
      <c r="H4" t="s">
        <v>20</v>
      </c>
      <c r="I4">
        <v>205</v>
      </c>
      <c r="J4" s="3">
        <v>71.195039458850061</v>
      </c>
      <c r="K4" s="3">
        <v>23.083427282976324</v>
      </c>
      <c r="L4" s="3">
        <v>69.741369741369738</v>
      </c>
      <c r="M4" s="3">
        <v>21.001221001220998</v>
      </c>
      <c r="N4">
        <v>8.8023000000000007</v>
      </c>
      <c r="O4">
        <v>11.0158</v>
      </c>
      <c r="P4">
        <v>0</v>
      </c>
      <c r="Q4">
        <v>1.05</v>
      </c>
      <c r="R4">
        <v>49.72</v>
      </c>
      <c r="S4">
        <f>R4/Q4</f>
        <v>47.352380952380948</v>
      </c>
      <c r="T4" t="s">
        <v>122</v>
      </c>
      <c r="U4">
        <v>10.604594305506</v>
      </c>
      <c r="V4">
        <v>29.324776311991702</v>
      </c>
      <c r="W4">
        <v>7</v>
      </c>
      <c r="X4">
        <v>1.1155172012180701</v>
      </c>
      <c r="Y4" t="s">
        <v>122</v>
      </c>
      <c r="Z4">
        <v>17.9069254146929</v>
      </c>
      <c r="AA4">
        <v>29.324776311991702</v>
      </c>
      <c r="AB4">
        <v>0</v>
      </c>
      <c r="AC4">
        <v>2.51956739503217</v>
      </c>
      <c r="AD4">
        <v>49.6765649671472</v>
      </c>
      <c r="AE4">
        <v>0</v>
      </c>
      <c r="AF4">
        <v>0</v>
      </c>
    </row>
    <row r="5" spans="1:32" x14ac:dyDescent="0.25">
      <c r="A5" t="str">
        <f>_xlfn.TEXTJOIN("_",TRUE,C5,D5,B5,G5)</f>
        <v>NEPAC_CM_2018_4</v>
      </c>
      <c r="B5">
        <v>2018</v>
      </c>
      <c r="C5" t="s">
        <v>8</v>
      </c>
      <c r="D5" t="s">
        <v>9</v>
      </c>
      <c r="E5" t="str">
        <f>_xlfn.TEXTJOIN("_",TRUE,C5:D5)</f>
        <v>NEPAC_CM</v>
      </c>
      <c r="F5" t="s">
        <v>33</v>
      </c>
      <c r="G5">
        <v>4</v>
      </c>
      <c r="H5" t="s">
        <v>21</v>
      </c>
      <c r="I5">
        <v>220</v>
      </c>
      <c r="J5" s="3">
        <v>71.195039458850061</v>
      </c>
      <c r="K5" s="3">
        <v>23.083427282976324</v>
      </c>
      <c r="L5" s="3">
        <v>69.741369741369738</v>
      </c>
      <c r="M5" s="3">
        <v>21.001221001220998</v>
      </c>
      <c r="N5">
        <v>10.459</v>
      </c>
      <c r="O5">
        <v>11.056699999999999</v>
      </c>
      <c r="P5">
        <v>0</v>
      </c>
      <c r="Q5">
        <v>0.99</v>
      </c>
      <c r="R5">
        <v>66.02</v>
      </c>
      <c r="S5">
        <f>R5/Q5</f>
        <v>66.686868686868678</v>
      </c>
      <c r="T5" t="s">
        <v>123</v>
      </c>
      <c r="U5">
        <v>61.046093246979503</v>
      </c>
      <c r="V5">
        <v>34.473355300534003</v>
      </c>
      <c r="W5">
        <v>4</v>
      </c>
      <c r="X5">
        <v>0.409875859528811</v>
      </c>
      <c r="Y5" t="s">
        <v>123</v>
      </c>
      <c r="Z5">
        <v>62.695527023444299</v>
      </c>
      <c r="AA5">
        <v>34.473355300534003</v>
      </c>
      <c r="AB5">
        <v>0.72719009203499596</v>
      </c>
      <c r="AC5">
        <v>1.19683369314093</v>
      </c>
      <c r="AD5">
        <v>0</v>
      </c>
      <c r="AE5">
        <v>0</v>
      </c>
      <c r="AF5">
        <v>0</v>
      </c>
    </row>
    <row r="6" spans="1:32" x14ac:dyDescent="0.25">
      <c r="A6" t="str">
        <f>_xlfn.TEXTJOIN("_",TRUE,C6,D6,B6,G6)</f>
        <v>NEPAC_CM_2018_5</v>
      </c>
      <c r="B6">
        <v>2018</v>
      </c>
      <c r="C6" t="s">
        <v>8</v>
      </c>
      <c r="D6" t="s">
        <v>9</v>
      </c>
      <c r="E6" t="str">
        <f>_xlfn.TEXTJOIN("_",TRUE,C6:D6)</f>
        <v>NEPAC_CM</v>
      </c>
      <c r="F6" t="s">
        <v>34</v>
      </c>
      <c r="G6">
        <v>5</v>
      </c>
      <c r="H6" t="s">
        <v>22</v>
      </c>
      <c r="I6">
        <v>231</v>
      </c>
      <c r="J6" s="3">
        <v>71.195039458850061</v>
      </c>
      <c r="K6" s="3">
        <v>23.083427282976324</v>
      </c>
      <c r="L6" s="3">
        <v>69.741369741369738</v>
      </c>
      <c r="M6" s="3">
        <v>21.001221001220998</v>
      </c>
      <c r="N6">
        <v>38.450000000000003</v>
      </c>
      <c r="O6">
        <v>12.7156</v>
      </c>
      <c r="P6">
        <v>0</v>
      </c>
      <c r="Q6">
        <v>0.98</v>
      </c>
      <c r="R6">
        <v>119.21</v>
      </c>
      <c r="S6">
        <f>R6/Q6</f>
        <v>121.64285714285714</v>
      </c>
      <c r="T6" t="s">
        <v>124</v>
      </c>
      <c r="U6">
        <v>7.7815114976609303</v>
      </c>
      <c r="V6">
        <v>30.315609145417401</v>
      </c>
      <c r="W6">
        <v>6</v>
      </c>
      <c r="X6">
        <v>1.1780100276515</v>
      </c>
      <c r="Y6" t="s">
        <v>124</v>
      </c>
      <c r="Z6">
        <v>19.314313324987399</v>
      </c>
      <c r="AA6">
        <v>30.315609145417401</v>
      </c>
      <c r="AB6">
        <v>0</v>
      </c>
      <c r="AC6">
        <v>2.7256155147042702</v>
      </c>
      <c r="AD6">
        <v>46.875754980123403</v>
      </c>
      <c r="AE6">
        <v>0</v>
      </c>
      <c r="AF6">
        <v>0</v>
      </c>
    </row>
    <row r="7" spans="1:32" x14ac:dyDescent="0.25">
      <c r="A7" t="str">
        <f>_xlfn.TEXTJOIN("_",TRUE,C7,D7,B7,G7)</f>
        <v>NEPAC_CM_2018_6</v>
      </c>
      <c r="B7">
        <v>2018</v>
      </c>
      <c r="C7" t="s">
        <v>8</v>
      </c>
      <c r="D7" t="s">
        <v>9</v>
      </c>
      <c r="E7" t="str">
        <f>_xlfn.TEXTJOIN("_",TRUE,C7:D7)</f>
        <v>NEPAC_CM</v>
      </c>
      <c r="F7" t="s">
        <v>35</v>
      </c>
      <c r="G7">
        <v>6</v>
      </c>
      <c r="H7" t="s">
        <v>23</v>
      </c>
      <c r="I7">
        <v>250</v>
      </c>
      <c r="J7" s="3">
        <v>71.195039458850061</v>
      </c>
      <c r="K7" s="3">
        <v>23.083427282976324</v>
      </c>
      <c r="L7" s="3">
        <v>69.741369741369738</v>
      </c>
      <c r="M7" s="3">
        <v>21.001221001220998</v>
      </c>
      <c r="N7">
        <v>2.6886000000000001</v>
      </c>
      <c r="O7">
        <v>2.5966999999999998</v>
      </c>
      <c r="P7">
        <v>0</v>
      </c>
      <c r="Q7">
        <v>1.04</v>
      </c>
      <c r="R7">
        <v>73.209999999999994</v>
      </c>
      <c r="S7">
        <f>R7/Q7</f>
        <v>70.394230769230759</v>
      </c>
      <c r="T7" t="s">
        <v>125</v>
      </c>
      <c r="U7">
        <v>7.6247486537083704</v>
      </c>
      <c r="V7">
        <v>24.8619039914947</v>
      </c>
      <c r="W7">
        <v>8</v>
      </c>
      <c r="X7">
        <v>1.3353414629932501</v>
      </c>
      <c r="Y7" t="s">
        <v>125</v>
      </c>
      <c r="Z7">
        <v>10.8026902720318</v>
      </c>
      <c r="AA7">
        <v>24.8619039914947</v>
      </c>
      <c r="AB7">
        <v>0.68643538955786199</v>
      </c>
      <c r="AC7">
        <v>4.6525065292255103</v>
      </c>
      <c r="AD7">
        <v>58.018813414380503</v>
      </c>
      <c r="AE7">
        <v>0</v>
      </c>
      <c r="AF7">
        <v>0</v>
      </c>
    </row>
    <row r="8" spans="1:32" x14ac:dyDescent="0.25">
      <c r="A8" t="str">
        <f>_xlfn.TEXTJOIN("_",TRUE,C8,D8,B8,G8)</f>
        <v>NEPAC_CM_2019_1</v>
      </c>
      <c r="B8">
        <v>2019</v>
      </c>
      <c r="C8" t="s">
        <v>8</v>
      </c>
      <c r="D8" t="s">
        <v>9</v>
      </c>
      <c r="E8" t="str">
        <f>_xlfn.TEXTJOIN("_",TRUE,C8:D8)</f>
        <v>NEPAC_CM</v>
      </c>
      <c r="F8" t="s">
        <v>58</v>
      </c>
      <c r="G8">
        <v>1</v>
      </c>
      <c r="H8" t="s">
        <v>24</v>
      </c>
      <c r="I8">
        <v>152</v>
      </c>
      <c r="J8" s="3">
        <v>71.195039458850061</v>
      </c>
      <c r="K8" s="3">
        <v>23.083427282976324</v>
      </c>
      <c r="L8" s="3">
        <v>69.741369741369738</v>
      </c>
      <c r="M8" s="3">
        <v>21.001221001220998</v>
      </c>
      <c r="N8">
        <v>8.4789999999999992</v>
      </c>
      <c r="O8">
        <v>62.0413</v>
      </c>
      <c r="P8">
        <v>0</v>
      </c>
      <c r="Q8">
        <v>1.03</v>
      </c>
      <c r="R8">
        <v>63.28</v>
      </c>
      <c r="S8">
        <f>R8/Q8</f>
        <v>61.436893203883493</v>
      </c>
      <c r="T8" t="s">
        <v>126</v>
      </c>
      <c r="U8">
        <v>29.168950949724302</v>
      </c>
      <c r="V8">
        <v>16.762875294269399</v>
      </c>
      <c r="W8">
        <v>9</v>
      </c>
      <c r="X8">
        <v>1.54314906394982</v>
      </c>
      <c r="Y8" t="s">
        <v>126</v>
      </c>
      <c r="Z8">
        <v>30.317004740559199</v>
      </c>
      <c r="AA8">
        <v>16.762875294269399</v>
      </c>
      <c r="AB8">
        <v>13.6250765906672</v>
      </c>
      <c r="AC8">
        <v>10.393756651294799</v>
      </c>
      <c r="AD8">
        <v>27.169531426360098</v>
      </c>
      <c r="AE8">
        <v>0</v>
      </c>
      <c r="AF8">
        <v>0</v>
      </c>
    </row>
    <row r="9" spans="1:32" x14ac:dyDescent="0.25">
      <c r="A9" t="str">
        <f>_xlfn.TEXTJOIN("_",TRUE,C9,D9,B9,G9)</f>
        <v>NEPAC_CM_2019_2</v>
      </c>
      <c r="B9">
        <v>2019</v>
      </c>
      <c r="C9" t="s">
        <v>8</v>
      </c>
      <c r="D9" t="s">
        <v>9</v>
      </c>
      <c r="E9" t="str">
        <f>_xlfn.TEXTJOIN("_",TRUE,C9:D9)</f>
        <v>NEPAC_CM</v>
      </c>
      <c r="F9" t="s">
        <v>59</v>
      </c>
      <c r="G9">
        <v>2</v>
      </c>
      <c r="H9" t="s">
        <v>19</v>
      </c>
      <c r="I9">
        <v>191</v>
      </c>
      <c r="J9" s="3">
        <v>71.195039458850061</v>
      </c>
      <c r="K9" s="3">
        <v>23.083427282976324</v>
      </c>
      <c r="L9" s="3">
        <v>69.741369741369738</v>
      </c>
      <c r="M9" s="3">
        <v>21.001221001220998</v>
      </c>
      <c r="N9">
        <v>3.8506</v>
      </c>
      <c r="O9">
        <v>15.8992</v>
      </c>
      <c r="P9">
        <v>0</v>
      </c>
      <c r="Q9">
        <v>1.02</v>
      </c>
      <c r="R9">
        <v>53.49</v>
      </c>
      <c r="S9">
        <f>R9/Q9</f>
        <v>52.441176470588239</v>
      </c>
      <c r="T9" t="s">
        <v>127</v>
      </c>
      <c r="U9">
        <v>34.754990925589802</v>
      </c>
      <c r="V9">
        <v>22.8461620582897</v>
      </c>
      <c r="W9">
        <v>10</v>
      </c>
      <c r="X9">
        <v>1.5374081014872001</v>
      </c>
      <c r="Y9" t="s">
        <v>127</v>
      </c>
      <c r="Z9">
        <v>38.390092879256997</v>
      </c>
      <c r="AA9">
        <v>22.8461620582897</v>
      </c>
      <c r="AB9">
        <v>24.348777623572101</v>
      </c>
      <c r="AC9">
        <v>0.78733852887797595</v>
      </c>
      <c r="AD9">
        <v>11.551190349097901</v>
      </c>
      <c r="AE9">
        <v>0</v>
      </c>
      <c r="AF9">
        <v>0</v>
      </c>
    </row>
    <row r="10" spans="1:32" x14ac:dyDescent="0.25">
      <c r="A10" t="str">
        <f>_xlfn.TEXTJOIN("_",TRUE,C10,D10,B10,G10)</f>
        <v>NEPAC_CM_2019_3</v>
      </c>
      <c r="B10">
        <v>2019</v>
      </c>
      <c r="C10" t="s">
        <v>8</v>
      </c>
      <c r="D10" t="s">
        <v>9</v>
      </c>
      <c r="E10" t="str">
        <f>_xlfn.TEXTJOIN("_",TRUE,C10:D10)</f>
        <v>NEPAC_CM</v>
      </c>
      <c r="F10" t="s">
        <v>60</v>
      </c>
      <c r="G10">
        <v>3</v>
      </c>
      <c r="H10" t="s">
        <v>20</v>
      </c>
      <c r="I10">
        <v>203</v>
      </c>
      <c r="J10" s="3">
        <v>71.195039458850061</v>
      </c>
      <c r="K10" s="3">
        <v>23.083427282976324</v>
      </c>
      <c r="L10" s="3">
        <v>69.741369741369738</v>
      </c>
      <c r="M10" s="3">
        <v>21.001221001220998</v>
      </c>
      <c r="N10">
        <v>2.7423000000000002</v>
      </c>
      <c r="O10">
        <v>23.3874</v>
      </c>
      <c r="P10">
        <v>0</v>
      </c>
      <c r="Q10">
        <v>1.04</v>
      </c>
      <c r="R10">
        <v>39.19</v>
      </c>
      <c r="S10">
        <f>R10/Q10</f>
        <v>37.682692307692307</v>
      </c>
      <c r="T10" t="s">
        <v>128</v>
      </c>
      <c r="U10">
        <v>16.525603046974201</v>
      </c>
      <c r="V10">
        <v>23.3147935433166</v>
      </c>
      <c r="W10">
        <v>12</v>
      </c>
      <c r="X10">
        <v>1.5782545686365199</v>
      </c>
      <c r="Y10" t="s">
        <v>128</v>
      </c>
      <c r="Z10">
        <v>26.032283416963899</v>
      </c>
      <c r="AA10">
        <v>23.3147935433166</v>
      </c>
      <c r="AB10">
        <v>4.7155552868629496</v>
      </c>
      <c r="AC10">
        <v>2.72051266549785</v>
      </c>
      <c r="AD10">
        <v>42.303971948491601</v>
      </c>
      <c r="AE10">
        <v>0</v>
      </c>
      <c r="AF10">
        <v>0</v>
      </c>
    </row>
    <row r="11" spans="1:32" x14ac:dyDescent="0.25">
      <c r="A11" t="str">
        <f>_xlfn.TEXTJOIN("_",TRUE,C11,D11,B11,G11)</f>
        <v>NEPAC_CM_2019_4</v>
      </c>
      <c r="B11">
        <v>2019</v>
      </c>
      <c r="C11" t="s">
        <v>8</v>
      </c>
      <c r="D11" t="s">
        <v>9</v>
      </c>
      <c r="E11" t="str">
        <f>_xlfn.TEXTJOIN("_",TRUE,C11:D11)</f>
        <v>NEPAC_CM</v>
      </c>
      <c r="F11" t="s">
        <v>61</v>
      </c>
      <c r="G11">
        <v>4</v>
      </c>
      <c r="H11" t="s">
        <v>21</v>
      </c>
      <c r="I11">
        <v>220</v>
      </c>
      <c r="J11" s="3">
        <v>71.195039458850061</v>
      </c>
      <c r="K11" s="3">
        <v>23.083427282976324</v>
      </c>
      <c r="L11" s="3">
        <v>69.741369741369738</v>
      </c>
      <c r="M11" s="3">
        <v>21.001221001220998</v>
      </c>
      <c r="N11">
        <v>3.8237000000000001</v>
      </c>
      <c r="O11">
        <v>11.4869</v>
      </c>
      <c r="P11">
        <v>0</v>
      </c>
      <c r="Q11">
        <v>1.03</v>
      </c>
      <c r="R11">
        <v>29.28</v>
      </c>
      <c r="S11">
        <f>R11/Q11</f>
        <v>28.427184466019419</v>
      </c>
      <c r="T11" t="s">
        <v>129</v>
      </c>
      <c r="U11">
        <v>15.069984054266101</v>
      </c>
      <c r="V11">
        <v>18.228758004505298</v>
      </c>
      <c r="W11">
        <v>8</v>
      </c>
      <c r="X11">
        <v>1.4870255537116199</v>
      </c>
      <c r="Y11" t="s">
        <v>129</v>
      </c>
      <c r="Z11">
        <v>19.6613429851426</v>
      </c>
      <c r="AA11">
        <v>18.228758004505298</v>
      </c>
      <c r="AB11">
        <v>17.3125110734263</v>
      </c>
      <c r="AC11">
        <v>1.2604722974512099</v>
      </c>
      <c r="AD11">
        <v>42.0461160748184</v>
      </c>
      <c r="AE11">
        <v>0</v>
      </c>
      <c r="AF11">
        <v>0</v>
      </c>
    </row>
    <row r="12" spans="1:32" x14ac:dyDescent="0.25">
      <c r="A12" t="str">
        <f>_xlfn.TEXTJOIN("_",TRUE,C12,D12,B12,G12)</f>
        <v>NEPAC_CM_2019_5</v>
      </c>
      <c r="B12">
        <v>2019</v>
      </c>
      <c r="C12" t="s">
        <v>8</v>
      </c>
      <c r="D12" t="s">
        <v>9</v>
      </c>
      <c r="E12" t="str">
        <f>_xlfn.TEXTJOIN("_",TRUE,C12:D12)</f>
        <v>NEPAC_CM</v>
      </c>
      <c r="F12" t="s">
        <v>62</v>
      </c>
      <c r="G12">
        <v>5</v>
      </c>
      <c r="H12" t="s">
        <v>22</v>
      </c>
      <c r="I12">
        <v>234</v>
      </c>
      <c r="J12" s="3">
        <v>71.195039458850061</v>
      </c>
      <c r="K12" s="3">
        <v>23.083427282976324</v>
      </c>
      <c r="L12" s="3">
        <v>69.741369741369738</v>
      </c>
      <c r="M12" s="3">
        <v>21.001221001220998</v>
      </c>
      <c r="N12">
        <v>3.1757</v>
      </c>
      <c r="O12">
        <v>6.9058000000000002</v>
      </c>
      <c r="P12">
        <v>0.83050000000000002</v>
      </c>
      <c r="Q12">
        <v>1.04</v>
      </c>
      <c r="R12">
        <v>42.85</v>
      </c>
      <c r="S12">
        <f>R12/Q12</f>
        <v>41.20192307692308</v>
      </c>
      <c r="T12" t="s">
        <v>130</v>
      </c>
      <c r="U12">
        <v>11.692639174224601</v>
      </c>
      <c r="V12">
        <v>0.65140051109886299</v>
      </c>
      <c r="W12">
        <v>11</v>
      </c>
      <c r="X12">
        <v>2.0241637394054002</v>
      </c>
      <c r="Y12" t="s">
        <v>130</v>
      </c>
      <c r="Z12">
        <v>11.692639174224601</v>
      </c>
      <c r="AA12">
        <v>2.8761837951595899</v>
      </c>
      <c r="AB12">
        <v>35.143057573783601</v>
      </c>
      <c r="AC12">
        <v>0</v>
      </c>
      <c r="AD12">
        <v>25.965826527033101</v>
      </c>
      <c r="AE12">
        <v>21.872024853434901</v>
      </c>
      <c r="AF12">
        <v>0</v>
      </c>
    </row>
    <row r="13" spans="1:32" x14ac:dyDescent="0.25">
      <c r="A13" t="str">
        <f>_xlfn.TEXTJOIN("_",TRUE,C13,D13,B13,G13)</f>
        <v>NEPAC_CM_2019_6</v>
      </c>
      <c r="B13">
        <v>2019</v>
      </c>
      <c r="C13" t="s">
        <v>8</v>
      </c>
      <c r="D13" t="s">
        <v>9</v>
      </c>
      <c r="E13" t="str">
        <f>_xlfn.TEXTJOIN("_",TRUE,C13:D13)</f>
        <v>NEPAC_CM</v>
      </c>
      <c r="F13" t="s">
        <v>63</v>
      </c>
      <c r="G13">
        <v>6</v>
      </c>
      <c r="H13" t="s">
        <v>23</v>
      </c>
      <c r="I13">
        <v>249</v>
      </c>
      <c r="J13" s="3">
        <v>71.195039458850061</v>
      </c>
      <c r="K13" s="3">
        <v>23.083427282976324</v>
      </c>
      <c r="L13" s="3">
        <v>69.741369741369738</v>
      </c>
      <c r="M13" s="3">
        <v>21.001221001220998</v>
      </c>
      <c r="N13">
        <v>2.5325000000000002</v>
      </c>
      <c r="O13">
        <v>0</v>
      </c>
      <c r="P13">
        <v>0.52580000000000005</v>
      </c>
      <c r="Q13">
        <v>1.02</v>
      </c>
      <c r="R13">
        <v>53.29</v>
      </c>
      <c r="S13">
        <f>R13/Q13</f>
        <v>52.245098039215684</v>
      </c>
      <c r="T13" t="s">
        <v>131</v>
      </c>
      <c r="U13">
        <v>14.729718626521001</v>
      </c>
      <c r="V13">
        <v>0</v>
      </c>
      <c r="W13">
        <v>5</v>
      </c>
      <c r="X13">
        <v>1.19146642793308</v>
      </c>
      <c r="Y13" t="s">
        <v>131</v>
      </c>
      <c r="Z13">
        <v>26.029474376115701</v>
      </c>
      <c r="AA13">
        <v>0</v>
      </c>
      <c r="AB13">
        <v>0</v>
      </c>
      <c r="AC13">
        <v>0</v>
      </c>
      <c r="AD13">
        <v>8.7071161272492308</v>
      </c>
      <c r="AE13">
        <v>62.887383383503</v>
      </c>
      <c r="AF13">
        <v>0</v>
      </c>
    </row>
    <row r="14" spans="1:32" x14ac:dyDescent="0.25">
      <c r="A14" t="str">
        <f>_xlfn.TEXTJOIN("_",TRUE,C14,D14,B14,G14)</f>
        <v>NEPAC_CM_2020_1</v>
      </c>
      <c r="B14">
        <v>2020</v>
      </c>
      <c r="C14" t="s">
        <v>8</v>
      </c>
      <c r="D14" t="s">
        <v>9</v>
      </c>
      <c r="E14" t="str">
        <f>_xlfn.TEXTJOIN("_",TRUE,C14:D14)</f>
        <v>NEPAC_CM</v>
      </c>
      <c r="F14" t="s">
        <v>84</v>
      </c>
      <c r="G14">
        <v>1</v>
      </c>
      <c r="H14" t="s">
        <v>24</v>
      </c>
      <c r="I14">
        <v>177</v>
      </c>
      <c r="J14" s="3">
        <v>71.195039458850061</v>
      </c>
      <c r="K14" s="3">
        <v>23.083427282976324</v>
      </c>
      <c r="L14" s="3">
        <v>69.741369741369738</v>
      </c>
      <c r="M14" s="3">
        <v>21.001221001220998</v>
      </c>
      <c r="N14">
        <v>6.0644999999999998</v>
      </c>
      <c r="O14">
        <v>124.5455</v>
      </c>
      <c r="P14">
        <v>0</v>
      </c>
      <c r="Q14">
        <v>1.02</v>
      </c>
      <c r="R14">
        <v>62.21</v>
      </c>
      <c r="S14">
        <f>R14/Q14</f>
        <v>60.990196078431374</v>
      </c>
      <c r="T14" t="s">
        <v>132</v>
      </c>
      <c r="U14">
        <v>38.822224463043298</v>
      </c>
      <c r="V14">
        <v>0.78854492285973599</v>
      </c>
      <c r="W14">
        <v>7</v>
      </c>
      <c r="X14">
        <v>1.33568444386833</v>
      </c>
      <c r="Y14" t="s">
        <v>132</v>
      </c>
      <c r="Z14">
        <v>46.247857214883503</v>
      </c>
      <c r="AA14">
        <v>2.5068064938993602</v>
      </c>
      <c r="AB14">
        <v>1.2826459614802901</v>
      </c>
      <c r="AC14">
        <v>9.1418775839467603</v>
      </c>
      <c r="AD14">
        <v>39.995966522133699</v>
      </c>
      <c r="AE14">
        <v>0</v>
      </c>
      <c r="AF14">
        <v>0</v>
      </c>
    </row>
    <row r="15" spans="1:32" x14ac:dyDescent="0.25">
      <c r="A15" t="str">
        <f>_xlfn.TEXTJOIN("_",TRUE,C15,D15,B15,G15)</f>
        <v>NEPAC_CM_2020_2</v>
      </c>
      <c r="B15">
        <v>2020</v>
      </c>
      <c r="C15" t="s">
        <v>8</v>
      </c>
      <c r="D15" t="s">
        <v>9</v>
      </c>
      <c r="E15" t="str">
        <f>_xlfn.TEXTJOIN("_",TRUE,C15:D15)</f>
        <v>NEPAC_CM</v>
      </c>
      <c r="F15" t="s">
        <v>85</v>
      </c>
      <c r="G15">
        <v>2</v>
      </c>
      <c r="H15" t="s">
        <v>19</v>
      </c>
      <c r="I15">
        <v>189</v>
      </c>
      <c r="J15" s="3">
        <v>71.195039458850061</v>
      </c>
      <c r="K15" s="3">
        <v>23.083427282976324</v>
      </c>
      <c r="L15" s="3">
        <v>69.741369741369738</v>
      </c>
      <c r="M15" s="3">
        <v>21.001221001220998</v>
      </c>
      <c r="N15">
        <v>11.8687</v>
      </c>
      <c r="O15">
        <v>75.928399999999996</v>
      </c>
      <c r="P15">
        <v>1.2343</v>
      </c>
      <c r="Q15">
        <v>1.04</v>
      </c>
      <c r="R15">
        <v>51.79</v>
      </c>
      <c r="S15">
        <f>R15/Q15</f>
        <v>49.79807692307692</v>
      </c>
      <c r="T15" t="s">
        <v>133</v>
      </c>
      <c r="U15">
        <v>43.013110307414102</v>
      </c>
      <c r="V15">
        <v>1.0510849909584099</v>
      </c>
      <c r="W15">
        <v>8</v>
      </c>
      <c r="X15">
        <v>1.9496289837173399</v>
      </c>
      <c r="Y15" t="s">
        <v>133</v>
      </c>
      <c r="Z15">
        <v>53.826853526220603</v>
      </c>
      <c r="AA15">
        <v>1.0510849909584099</v>
      </c>
      <c r="AB15">
        <v>7.23327305605787</v>
      </c>
      <c r="AC15">
        <v>19.911844484629299</v>
      </c>
      <c r="AD15">
        <v>16.6071428571429</v>
      </c>
      <c r="AE15">
        <v>0</v>
      </c>
      <c r="AF15">
        <v>0</v>
      </c>
    </row>
    <row r="16" spans="1:32" x14ac:dyDescent="0.25">
      <c r="A16" t="str">
        <f>_xlfn.TEXTJOIN("_",TRUE,C16,D16,B16,G16)</f>
        <v>NEPAC_CM_2020_3</v>
      </c>
      <c r="B16">
        <v>2020</v>
      </c>
      <c r="C16" t="s">
        <v>8</v>
      </c>
      <c r="D16" t="s">
        <v>9</v>
      </c>
      <c r="E16" t="str">
        <f>_xlfn.TEXTJOIN("_",TRUE,C16:D16)</f>
        <v>NEPAC_CM</v>
      </c>
      <c r="F16" t="s">
        <v>86</v>
      </c>
      <c r="G16">
        <v>3</v>
      </c>
      <c r="H16" t="s">
        <v>20</v>
      </c>
      <c r="I16">
        <v>202</v>
      </c>
      <c r="J16" s="3">
        <v>71.195039458850061</v>
      </c>
      <c r="K16" s="3">
        <v>23.083427282976324</v>
      </c>
      <c r="L16" s="3">
        <v>69.741369741369738</v>
      </c>
      <c r="M16" s="3">
        <v>21.001221001220998</v>
      </c>
      <c r="N16">
        <v>4.6902999999999997</v>
      </c>
      <c r="O16">
        <v>26.901900000000001</v>
      </c>
      <c r="P16">
        <v>0.64449999999999996</v>
      </c>
      <c r="Q16">
        <v>1.02</v>
      </c>
      <c r="R16">
        <v>53.52</v>
      </c>
      <c r="S16">
        <f>R16/Q16</f>
        <v>52.470588235294123</v>
      </c>
      <c r="T16" t="s">
        <v>134</v>
      </c>
      <c r="U16">
        <v>33.864750729813203</v>
      </c>
      <c r="V16">
        <v>5.8866876399399102</v>
      </c>
      <c r="W16">
        <v>5</v>
      </c>
      <c r="X16">
        <v>1.1154918264886</v>
      </c>
      <c r="Y16" t="s">
        <v>134</v>
      </c>
      <c r="Z16">
        <v>34.621489102400602</v>
      </c>
      <c r="AA16">
        <v>8.9108069041748195</v>
      </c>
      <c r="AB16">
        <v>0</v>
      </c>
      <c r="AC16">
        <v>0</v>
      </c>
      <c r="AD16">
        <v>55.455885270526899</v>
      </c>
      <c r="AE16">
        <v>0</v>
      </c>
      <c r="AF16">
        <v>0</v>
      </c>
    </row>
    <row r="17" spans="1:32" x14ac:dyDescent="0.25">
      <c r="A17" t="str">
        <f>_xlfn.TEXTJOIN("_",TRUE,C17,D17,B17,G17)</f>
        <v>NEPAC_CM_2020_4</v>
      </c>
      <c r="B17">
        <v>2020</v>
      </c>
      <c r="C17" t="s">
        <v>8</v>
      </c>
      <c r="D17" t="s">
        <v>9</v>
      </c>
      <c r="E17" t="str">
        <f>_xlfn.TEXTJOIN("_",TRUE,C17:D17)</f>
        <v>NEPAC_CM</v>
      </c>
      <c r="F17" t="s">
        <v>87</v>
      </c>
      <c r="G17">
        <v>4</v>
      </c>
      <c r="H17" t="s">
        <v>21</v>
      </c>
      <c r="I17">
        <v>217</v>
      </c>
      <c r="J17" s="3">
        <v>71.195039458850061</v>
      </c>
      <c r="K17" s="3">
        <v>23.083427282976324</v>
      </c>
      <c r="L17" s="3">
        <v>69.741369741369738</v>
      </c>
      <c r="M17" s="3">
        <v>21.001221001220998</v>
      </c>
      <c r="N17">
        <v>2.3348</v>
      </c>
      <c r="O17">
        <v>14.4686</v>
      </c>
      <c r="P17">
        <v>0.32650000000000001</v>
      </c>
      <c r="Q17">
        <v>1.02</v>
      </c>
      <c r="R17">
        <v>40.229999999999997</v>
      </c>
      <c r="S17">
        <f>R17/Q17</f>
        <v>39.441176470588232</v>
      </c>
      <c r="T17" t="s">
        <v>135</v>
      </c>
      <c r="U17">
        <v>27.903831197376</v>
      </c>
      <c r="V17">
        <v>9.5492510059851892</v>
      </c>
      <c r="W17">
        <v>5</v>
      </c>
      <c r="X17">
        <v>1.3927032616463899</v>
      </c>
      <c r="Y17" t="s">
        <v>135</v>
      </c>
      <c r="Z17">
        <v>56.3267169377473</v>
      </c>
      <c r="AA17">
        <v>9.5492510059851892</v>
      </c>
      <c r="AB17">
        <v>0</v>
      </c>
      <c r="AC17">
        <v>0</v>
      </c>
      <c r="AD17">
        <v>33.041963953606299</v>
      </c>
      <c r="AE17">
        <v>0</v>
      </c>
      <c r="AF17">
        <v>0</v>
      </c>
    </row>
    <row r="18" spans="1:32" x14ac:dyDescent="0.25">
      <c r="A18" t="str">
        <f>_xlfn.TEXTJOIN("_",TRUE,C18,D18,B18,G18)</f>
        <v>NEPAC_CM_2020_5</v>
      </c>
      <c r="B18">
        <v>2020</v>
      </c>
      <c r="C18" t="s">
        <v>8</v>
      </c>
      <c r="D18" t="s">
        <v>9</v>
      </c>
      <c r="E18" t="str">
        <f>_xlfn.TEXTJOIN("_",TRUE,C18:D18)</f>
        <v>NEPAC_CM</v>
      </c>
      <c r="F18" t="s">
        <v>88</v>
      </c>
      <c r="G18">
        <v>5</v>
      </c>
      <c r="H18" t="s">
        <v>22</v>
      </c>
      <c r="I18">
        <v>229</v>
      </c>
      <c r="J18" s="3">
        <v>71.195039458850061</v>
      </c>
      <c r="K18" s="3">
        <v>23.083427282976324</v>
      </c>
      <c r="L18" s="3">
        <v>69.741369741369738</v>
      </c>
      <c r="M18" s="3">
        <v>21.001221001220998</v>
      </c>
      <c r="N18">
        <v>2.2448000000000001</v>
      </c>
      <c r="O18">
        <v>135.26249999999999</v>
      </c>
      <c r="P18">
        <v>0</v>
      </c>
      <c r="Q18">
        <v>1.02</v>
      </c>
      <c r="R18">
        <v>49.314</v>
      </c>
      <c r="S18">
        <f>R18/Q18</f>
        <v>48.347058823529409</v>
      </c>
      <c r="T18" t="s">
        <v>136</v>
      </c>
      <c r="U18">
        <v>10.557512403893501</v>
      </c>
      <c r="V18">
        <v>0</v>
      </c>
      <c r="W18">
        <v>9</v>
      </c>
      <c r="X18">
        <v>1.72013407254788</v>
      </c>
      <c r="Y18" t="s">
        <v>136</v>
      </c>
      <c r="Z18">
        <v>11.877438169904901</v>
      </c>
      <c r="AA18">
        <v>4.9293640874143101</v>
      </c>
      <c r="AB18">
        <v>6.6678029011854703</v>
      </c>
      <c r="AC18">
        <v>0</v>
      </c>
      <c r="AD18">
        <v>72.463356436768507</v>
      </c>
      <c r="AE18">
        <v>0</v>
      </c>
      <c r="AF18">
        <v>0</v>
      </c>
    </row>
    <row r="19" spans="1:32" x14ac:dyDescent="0.25">
      <c r="A19" t="str">
        <f>_xlfn.TEXTJOIN("_",TRUE,C19,D19,B19,G19)</f>
        <v>NEPAC_CM_2020_6</v>
      </c>
      <c r="B19">
        <v>2020</v>
      </c>
      <c r="C19" t="s">
        <v>8</v>
      </c>
      <c r="D19" t="s">
        <v>9</v>
      </c>
      <c r="E19" t="str">
        <f>_xlfn.TEXTJOIN("_",TRUE,C19:D19)</f>
        <v>NEPAC_CM</v>
      </c>
      <c r="F19" t="s">
        <v>89</v>
      </c>
      <c r="G19">
        <v>6</v>
      </c>
      <c r="H19" t="s">
        <v>23</v>
      </c>
      <c r="I19">
        <v>246</v>
      </c>
      <c r="J19" s="3">
        <v>71.195039458850061</v>
      </c>
      <c r="K19" s="3">
        <v>23.083427282976324</v>
      </c>
      <c r="L19" s="3">
        <v>69.741369741369738</v>
      </c>
      <c r="M19" s="3">
        <v>21.001221001220998</v>
      </c>
      <c r="N19">
        <v>0</v>
      </c>
      <c r="O19">
        <v>70.067300000000003</v>
      </c>
      <c r="P19">
        <v>0</v>
      </c>
      <c r="Q19">
        <v>1.04</v>
      </c>
      <c r="R19">
        <v>64.37</v>
      </c>
      <c r="S19">
        <f>R19/Q19</f>
        <v>61.894230769230774</v>
      </c>
      <c r="T19" t="s">
        <v>137</v>
      </c>
      <c r="U19">
        <v>6.2605151979661304</v>
      </c>
      <c r="V19">
        <v>0</v>
      </c>
      <c r="W19">
        <v>15</v>
      </c>
      <c r="X19">
        <v>2.0960294535473798</v>
      </c>
      <c r="Y19" t="s">
        <v>137</v>
      </c>
      <c r="Z19">
        <v>6.2605151979661304</v>
      </c>
      <c r="AA19">
        <v>0</v>
      </c>
      <c r="AB19">
        <v>35.114218417018698</v>
      </c>
      <c r="AC19">
        <v>0</v>
      </c>
      <c r="AD19">
        <v>32.108273825101897</v>
      </c>
      <c r="AE19">
        <v>23.94661083486</v>
      </c>
      <c r="AF19">
        <v>0</v>
      </c>
    </row>
    <row r="20" spans="1:32" x14ac:dyDescent="0.25">
      <c r="A20" t="str">
        <f>_xlfn.TEXTJOIN("_",TRUE,C20,D20,B20,G20)</f>
        <v>NEPAC_IPM_2018_1</v>
      </c>
      <c r="B20">
        <v>2018</v>
      </c>
      <c r="C20" t="s">
        <v>8</v>
      </c>
      <c r="D20" t="s">
        <v>10</v>
      </c>
      <c r="E20" t="str">
        <f>_xlfn.TEXTJOIN("_",TRUE,C20:D20)</f>
        <v>NEPAC_IPM</v>
      </c>
      <c r="F20" t="s">
        <v>30</v>
      </c>
      <c r="G20">
        <v>1</v>
      </c>
      <c r="H20" t="s">
        <v>24</v>
      </c>
      <c r="I20">
        <v>176</v>
      </c>
      <c r="J20" s="3">
        <v>86.91852269523541</v>
      </c>
      <c r="K20" s="3">
        <v>8.514237383704538</v>
      </c>
      <c r="L20" s="3">
        <v>79.014546264761108</v>
      </c>
      <c r="M20" s="3">
        <v>12.11127733392749</v>
      </c>
      <c r="N20">
        <v>0</v>
      </c>
      <c r="O20">
        <v>17.2286</v>
      </c>
      <c r="P20">
        <v>0</v>
      </c>
      <c r="Q20">
        <v>1.02</v>
      </c>
      <c r="R20">
        <v>76.12</v>
      </c>
      <c r="S20">
        <f>R20/Q20</f>
        <v>74.627450980392155</v>
      </c>
      <c r="T20" t="s">
        <v>138</v>
      </c>
      <c r="U20">
        <v>26.956794808049601</v>
      </c>
      <c r="V20">
        <v>0</v>
      </c>
      <c r="W20">
        <v>9</v>
      </c>
      <c r="X20">
        <v>1.6844524254592199</v>
      </c>
      <c r="Y20" t="s">
        <v>138</v>
      </c>
      <c r="Z20">
        <v>60.707089210478102</v>
      </c>
      <c r="AA20">
        <v>0</v>
      </c>
      <c r="AB20">
        <v>1.70884254049669</v>
      </c>
      <c r="AC20">
        <v>34.585088844110601</v>
      </c>
      <c r="AD20">
        <v>1.3293905215502599</v>
      </c>
      <c r="AE20">
        <v>0</v>
      </c>
      <c r="AF20">
        <v>0</v>
      </c>
    </row>
    <row r="21" spans="1:32" x14ac:dyDescent="0.25">
      <c r="A21" t="str">
        <f>_xlfn.TEXTJOIN("_",TRUE,C21,D21,B21,G21)</f>
        <v>NEPAC_IPM_2018_2</v>
      </c>
      <c r="B21">
        <v>2018</v>
      </c>
      <c r="C21" t="s">
        <v>8</v>
      </c>
      <c r="D21" t="s">
        <v>10</v>
      </c>
      <c r="E21" t="str">
        <f>_xlfn.TEXTJOIN("_",TRUE,C21:D21)</f>
        <v>NEPAC_IPM</v>
      </c>
      <c r="F21" t="s">
        <v>31</v>
      </c>
      <c r="G21">
        <v>2</v>
      </c>
      <c r="H21" t="s">
        <v>19</v>
      </c>
      <c r="I21">
        <v>190</v>
      </c>
      <c r="J21" s="3">
        <v>86.91852269523541</v>
      </c>
      <c r="K21" s="3">
        <v>8.514237383704538</v>
      </c>
      <c r="L21" s="3">
        <v>79.014546264761108</v>
      </c>
      <c r="M21" s="3">
        <v>12.11127733392749</v>
      </c>
      <c r="N21">
        <v>1.7773000000000001</v>
      </c>
      <c r="O21">
        <v>0</v>
      </c>
      <c r="P21">
        <v>0</v>
      </c>
      <c r="Q21">
        <v>1.04</v>
      </c>
      <c r="R21">
        <v>82.77</v>
      </c>
      <c r="S21">
        <f>R21/Q21</f>
        <v>79.586538461538453</v>
      </c>
      <c r="T21" t="s">
        <v>139</v>
      </c>
      <c r="U21">
        <v>38.010164393507203</v>
      </c>
      <c r="V21">
        <v>16.664938028315099</v>
      </c>
      <c r="W21">
        <v>10</v>
      </c>
      <c r="X21">
        <v>1.80204750625455</v>
      </c>
      <c r="Y21" t="s">
        <v>139</v>
      </c>
      <c r="Z21">
        <v>38.718041798475298</v>
      </c>
      <c r="AA21">
        <v>26.3600062230981</v>
      </c>
      <c r="AB21">
        <v>0</v>
      </c>
      <c r="AC21">
        <v>29.383394699994799</v>
      </c>
      <c r="AD21">
        <v>4.5013742674895001</v>
      </c>
      <c r="AE21">
        <v>0</v>
      </c>
      <c r="AF21">
        <v>0</v>
      </c>
    </row>
    <row r="22" spans="1:32" x14ac:dyDescent="0.25">
      <c r="A22" t="str">
        <f>_xlfn.TEXTJOIN("_",TRUE,C22,D22,B22,G22)</f>
        <v>NEPAC_IPM_2018_3</v>
      </c>
      <c r="B22">
        <v>2018</v>
      </c>
      <c r="C22" t="s">
        <v>8</v>
      </c>
      <c r="D22" t="s">
        <v>10</v>
      </c>
      <c r="E22" t="str">
        <f>_xlfn.TEXTJOIN("_",TRUE,C22:D22)</f>
        <v>NEPAC_IPM</v>
      </c>
      <c r="F22" t="s">
        <v>32</v>
      </c>
      <c r="G22">
        <v>3</v>
      </c>
      <c r="H22" t="s">
        <v>20</v>
      </c>
      <c r="I22">
        <v>205</v>
      </c>
      <c r="J22" s="3">
        <v>86.91852269523541</v>
      </c>
      <c r="K22" s="3">
        <v>8.514237383704538</v>
      </c>
      <c r="L22" s="3">
        <v>79.014546264761108</v>
      </c>
      <c r="M22" s="3">
        <v>12.11127733392749</v>
      </c>
      <c r="N22">
        <v>0</v>
      </c>
      <c r="O22">
        <v>0</v>
      </c>
      <c r="P22">
        <v>0</v>
      </c>
      <c r="Q22">
        <v>1.03</v>
      </c>
      <c r="R22">
        <v>119.2</v>
      </c>
      <c r="S22">
        <f>R22/Q22</f>
        <v>115.72815533980582</v>
      </c>
      <c r="T22" t="s">
        <v>140</v>
      </c>
      <c r="U22">
        <v>36.463545389563997</v>
      </c>
      <c r="V22">
        <v>17.903413152251598</v>
      </c>
      <c r="W22">
        <v>6</v>
      </c>
      <c r="X22">
        <v>1.4644488247806999</v>
      </c>
      <c r="Y22" t="s">
        <v>140</v>
      </c>
      <c r="Z22">
        <v>36.463545389563997</v>
      </c>
      <c r="AA22">
        <v>17.903413152251598</v>
      </c>
      <c r="AB22">
        <v>0</v>
      </c>
      <c r="AC22">
        <v>23.675393137955702</v>
      </c>
      <c r="AD22">
        <v>20.664313795568301</v>
      </c>
      <c r="AE22">
        <v>0</v>
      </c>
      <c r="AF22">
        <v>0</v>
      </c>
    </row>
    <row r="23" spans="1:32" x14ac:dyDescent="0.25">
      <c r="A23" t="str">
        <f>_xlfn.TEXTJOIN("_",TRUE,C23,D23,B23,G23)</f>
        <v>NEPAC_IPM_2018_4</v>
      </c>
      <c r="B23">
        <v>2018</v>
      </c>
      <c r="C23" t="s">
        <v>8</v>
      </c>
      <c r="D23" t="s">
        <v>10</v>
      </c>
      <c r="E23" t="str">
        <f>_xlfn.TEXTJOIN("_",TRUE,C23:D23)</f>
        <v>NEPAC_IPM</v>
      </c>
      <c r="F23" t="s">
        <v>33</v>
      </c>
      <c r="G23">
        <v>4</v>
      </c>
      <c r="H23" t="s">
        <v>21</v>
      </c>
      <c r="I23">
        <v>220</v>
      </c>
      <c r="J23" s="3">
        <v>86.91852269523541</v>
      </c>
      <c r="K23" s="3">
        <v>8.514237383704538</v>
      </c>
      <c r="L23" s="3">
        <v>79.014546264761108</v>
      </c>
      <c r="M23" s="3">
        <v>12.11127733392749</v>
      </c>
      <c r="N23">
        <v>1.5913999999999999</v>
      </c>
      <c r="O23">
        <v>0</v>
      </c>
      <c r="P23">
        <v>0</v>
      </c>
      <c r="Q23">
        <v>1.02</v>
      </c>
      <c r="R23">
        <v>62.19</v>
      </c>
      <c r="S23">
        <f>R23/Q23</f>
        <v>60.970588235294116</v>
      </c>
      <c r="T23" t="s">
        <v>141</v>
      </c>
      <c r="U23">
        <v>32.887924658547398</v>
      </c>
      <c r="V23">
        <v>11.937281199151901</v>
      </c>
      <c r="W23">
        <v>7</v>
      </c>
      <c r="X23">
        <v>1.5672107976152301</v>
      </c>
      <c r="Y23" t="s">
        <v>141</v>
      </c>
      <c r="Z23">
        <v>32.887924658547398</v>
      </c>
      <c r="AA23">
        <v>11.937281199151901</v>
      </c>
      <c r="AB23">
        <v>0</v>
      </c>
      <c r="AC23">
        <v>13.952303469585701</v>
      </c>
      <c r="AD23">
        <v>40.604506681130097</v>
      </c>
      <c r="AE23">
        <v>0</v>
      </c>
      <c r="AF23">
        <v>0</v>
      </c>
    </row>
    <row r="24" spans="1:32" x14ac:dyDescent="0.25">
      <c r="A24" t="str">
        <f>_xlfn.TEXTJOIN("_",TRUE,C24,D24,B24,G24)</f>
        <v>NEPAC_IPM_2018_5</v>
      </c>
      <c r="B24">
        <v>2018</v>
      </c>
      <c r="C24" t="s">
        <v>8</v>
      </c>
      <c r="D24" t="s">
        <v>10</v>
      </c>
      <c r="E24" t="str">
        <f>_xlfn.TEXTJOIN("_",TRUE,C24:D24)</f>
        <v>NEPAC_IPM</v>
      </c>
      <c r="F24" t="s">
        <v>34</v>
      </c>
      <c r="G24">
        <v>5</v>
      </c>
      <c r="H24" t="s">
        <v>22</v>
      </c>
      <c r="I24">
        <v>231</v>
      </c>
      <c r="J24" s="3">
        <v>86.91852269523541</v>
      </c>
      <c r="K24" s="3">
        <v>8.514237383704538</v>
      </c>
      <c r="L24" s="3">
        <v>79.014546264761108</v>
      </c>
      <c r="M24" s="3">
        <v>12.11127733392749</v>
      </c>
      <c r="N24">
        <v>0</v>
      </c>
      <c r="O24">
        <v>0</v>
      </c>
      <c r="P24">
        <v>0</v>
      </c>
      <c r="Q24">
        <v>1</v>
      </c>
      <c r="R24">
        <v>145.81</v>
      </c>
      <c r="S24">
        <f>R24/Q24</f>
        <v>145.81</v>
      </c>
      <c r="T24" t="s">
        <v>142</v>
      </c>
      <c r="U24">
        <v>1.42737621377684</v>
      </c>
      <c r="V24">
        <v>16.171437263899801</v>
      </c>
      <c r="W24">
        <v>5</v>
      </c>
      <c r="X24">
        <v>1.32253248811643</v>
      </c>
      <c r="Y24" t="s">
        <v>142</v>
      </c>
      <c r="Z24">
        <v>31.209593590751201</v>
      </c>
      <c r="AA24">
        <v>16.171437263899801</v>
      </c>
      <c r="AB24">
        <v>0</v>
      </c>
      <c r="AC24">
        <v>0.61607889866389498</v>
      </c>
      <c r="AD24">
        <v>51.063560074030903</v>
      </c>
      <c r="AE24">
        <v>0</v>
      </c>
      <c r="AF24">
        <v>0</v>
      </c>
    </row>
    <row r="25" spans="1:32" x14ac:dyDescent="0.25">
      <c r="A25" t="str">
        <f>_xlfn.TEXTJOIN("_",TRUE,C25,D25,B25,G25)</f>
        <v>NEPAC_IPM_2018_6</v>
      </c>
      <c r="B25">
        <v>2018</v>
      </c>
      <c r="C25" t="s">
        <v>8</v>
      </c>
      <c r="D25" t="s">
        <v>10</v>
      </c>
      <c r="E25" t="str">
        <f>_xlfn.TEXTJOIN("_",TRUE,C25:D25)</f>
        <v>NEPAC_IPM</v>
      </c>
      <c r="F25" t="s">
        <v>35</v>
      </c>
      <c r="G25">
        <v>6</v>
      </c>
      <c r="H25" t="s">
        <v>23</v>
      </c>
      <c r="I25">
        <v>250</v>
      </c>
      <c r="J25" s="3">
        <v>86.91852269523541</v>
      </c>
      <c r="K25" s="3">
        <v>8.514237383704538</v>
      </c>
      <c r="L25" s="3">
        <v>79.014546264761108</v>
      </c>
      <c r="M25" s="3">
        <v>12.11127733392749</v>
      </c>
      <c r="N25">
        <v>0.53849999999999998</v>
      </c>
      <c r="O25">
        <v>0</v>
      </c>
      <c r="P25">
        <v>0</v>
      </c>
      <c r="Q25">
        <v>1.05</v>
      </c>
      <c r="R25">
        <v>52.34</v>
      </c>
      <c r="S25">
        <f>R25/Q25</f>
        <v>49.847619047619048</v>
      </c>
      <c r="T25" t="s">
        <v>143</v>
      </c>
      <c r="U25">
        <v>13.2167330810144</v>
      </c>
      <c r="V25">
        <v>0.81864714807342798</v>
      </c>
      <c r="W25">
        <v>8</v>
      </c>
      <c r="X25">
        <v>1.6306021313232</v>
      </c>
      <c r="Y25" t="s">
        <v>143</v>
      </c>
      <c r="Z25">
        <v>16.199543158210599</v>
      </c>
      <c r="AA25">
        <v>0.81864714807342798</v>
      </c>
      <c r="AB25">
        <v>25.824899544825499</v>
      </c>
      <c r="AC25">
        <v>5.9422778731847199</v>
      </c>
      <c r="AD25">
        <v>49.590676425963302</v>
      </c>
      <c r="AE25">
        <v>0</v>
      </c>
      <c r="AF25">
        <v>0</v>
      </c>
    </row>
    <row r="26" spans="1:32" x14ac:dyDescent="0.25">
      <c r="A26" t="str">
        <f>_xlfn.TEXTJOIN("_",TRUE,C26,D26,B26,G26)</f>
        <v>NEPAC_IPM_2019_1</v>
      </c>
      <c r="B26">
        <v>2019</v>
      </c>
      <c r="C26" t="s">
        <v>8</v>
      </c>
      <c r="D26" t="s">
        <v>10</v>
      </c>
      <c r="E26" t="str">
        <f>_xlfn.TEXTJOIN("_",TRUE,C26:D26)</f>
        <v>NEPAC_IPM</v>
      </c>
      <c r="F26" t="s">
        <v>58</v>
      </c>
      <c r="G26">
        <v>1</v>
      </c>
      <c r="H26" t="s">
        <v>24</v>
      </c>
      <c r="I26">
        <v>152</v>
      </c>
      <c r="J26" s="3">
        <v>86.91852269523541</v>
      </c>
      <c r="K26" s="3">
        <v>8.514237383704538</v>
      </c>
      <c r="L26" s="3">
        <v>79.014546264761108</v>
      </c>
      <c r="M26" s="3">
        <v>12.11127733392749</v>
      </c>
      <c r="N26">
        <v>0</v>
      </c>
      <c r="O26">
        <v>12.198499999999999</v>
      </c>
      <c r="P26">
        <v>0</v>
      </c>
      <c r="Q26">
        <v>1.01</v>
      </c>
      <c r="R26">
        <v>39.18</v>
      </c>
      <c r="S26">
        <f>R26/Q26</f>
        <v>38.792079207920793</v>
      </c>
      <c r="T26" t="s">
        <v>144</v>
      </c>
      <c r="U26">
        <v>38.740202249928899</v>
      </c>
      <c r="V26">
        <v>6.9487877187995002</v>
      </c>
      <c r="W26">
        <v>12</v>
      </c>
      <c r="X26">
        <v>2.00661940379115</v>
      </c>
      <c r="Y26" t="s">
        <v>144</v>
      </c>
      <c r="Z26">
        <v>52.796166186086197</v>
      </c>
      <c r="AA26">
        <v>6.9487877187995002</v>
      </c>
      <c r="AB26">
        <v>0.503594200544207</v>
      </c>
      <c r="AC26">
        <v>4.9120740770823996</v>
      </c>
      <c r="AD26">
        <v>33.499167445071699</v>
      </c>
      <c r="AE26">
        <v>0</v>
      </c>
      <c r="AF26">
        <v>0</v>
      </c>
    </row>
    <row r="27" spans="1:32" x14ac:dyDescent="0.25">
      <c r="A27" t="str">
        <f>_xlfn.TEXTJOIN("_",TRUE,C27,D27,B27,G27)</f>
        <v>NEPAC_IPM_2019_2</v>
      </c>
      <c r="B27">
        <v>2019</v>
      </c>
      <c r="C27" t="s">
        <v>8</v>
      </c>
      <c r="D27" t="s">
        <v>10</v>
      </c>
      <c r="E27" t="str">
        <f>_xlfn.TEXTJOIN("_",TRUE,C27:D27)</f>
        <v>NEPAC_IPM</v>
      </c>
      <c r="F27" t="s">
        <v>59</v>
      </c>
      <c r="G27">
        <v>2</v>
      </c>
      <c r="H27" t="s">
        <v>19</v>
      </c>
      <c r="I27">
        <v>191</v>
      </c>
      <c r="J27" s="3">
        <v>86.91852269523541</v>
      </c>
      <c r="K27" s="3">
        <v>8.514237383704538</v>
      </c>
      <c r="L27" s="3">
        <v>79.014546264761108</v>
      </c>
      <c r="M27" s="3">
        <v>12.11127733392749</v>
      </c>
      <c r="N27">
        <v>0</v>
      </c>
      <c r="O27">
        <v>17.5732</v>
      </c>
      <c r="P27">
        <v>0</v>
      </c>
      <c r="Q27">
        <v>1</v>
      </c>
      <c r="R27">
        <v>42.52</v>
      </c>
      <c r="S27">
        <f>R27/Q27</f>
        <v>42.52</v>
      </c>
      <c r="T27" t="s">
        <v>145</v>
      </c>
      <c r="U27">
        <v>39.686106652398799</v>
      </c>
      <c r="V27">
        <v>11.3179953629392</v>
      </c>
      <c r="W27">
        <v>8</v>
      </c>
      <c r="X27">
        <v>1.7516553727131201</v>
      </c>
      <c r="Y27" t="s">
        <v>145</v>
      </c>
      <c r="Z27">
        <v>50.5653647226681</v>
      </c>
      <c r="AA27">
        <v>11.3179953629392</v>
      </c>
      <c r="AB27">
        <v>0.90957731407169595</v>
      </c>
      <c r="AC27">
        <v>0</v>
      </c>
      <c r="AD27">
        <v>36.281433921883398</v>
      </c>
      <c r="AE27">
        <v>0</v>
      </c>
      <c r="AF27">
        <v>0</v>
      </c>
    </row>
    <row r="28" spans="1:32" x14ac:dyDescent="0.25">
      <c r="A28" t="str">
        <f>_xlfn.TEXTJOIN("_",TRUE,C28,D28,B28,G28)</f>
        <v>NEPAC_IPM_2019_3</v>
      </c>
      <c r="B28">
        <v>2019</v>
      </c>
      <c r="C28" t="s">
        <v>8</v>
      </c>
      <c r="D28" t="s">
        <v>10</v>
      </c>
      <c r="E28" t="str">
        <f>_xlfn.TEXTJOIN("_",TRUE,C28:D28)</f>
        <v>NEPAC_IPM</v>
      </c>
      <c r="F28" t="s">
        <v>60</v>
      </c>
      <c r="G28">
        <v>3</v>
      </c>
      <c r="H28" t="s">
        <v>20</v>
      </c>
      <c r="I28">
        <v>203</v>
      </c>
      <c r="J28" s="3">
        <v>86.91852269523541</v>
      </c>
      <c r="K28" s="3">
        <v>8.514237383704538</v>
      </c>
      <c r="L28" s="3">
        <v>79.014546264761108</v>
      </c>
      <c r="M28" s="3">
        <v>12.11127733392749</v>
      </c>
      <c r="N28">
        <v>0</v>
      </c>
      <c r="O28">
        <v>4.4286000000000003</v>
      </c>
      <c r="P28">
        <v>0.24640000000000001</v>
      </c>
      <c r="Q28">
        <v>1.02</v>
      </c>
      <c r="R28">
        <v>111.36</v>
      </c>
      <c r="S28">
        <f>R28/Q28</f>
        <v>109.17647058823529</v>
      </c>
      <c r="T28" t="s">
        <v>146</v>
      </c>
      <c r="U28">
        <v>10.182006128401101</v>
      </c>
      <c r="V28">
        <v>13.4679637457774</v>
      </c>
      <c r="W28">
        <v>6</v>
      </c>
      <c r="X28">
        <v>1.4046724988742301</v>
      </c>
      <c r="Y28" t="s">
        <v>146</v>
      </c>
      <c r="Z28">
        <v>43.480880043852402</v>
      </c>
      <c r="AA28">
        <v>13.4679637457774</v>
      </c>
      <c r="AB28">
        <v>0</v>
      </c>
      <c r="AC28">
        <v>0.81955109273478999</v>
      </c>
      <c r="AD28">
        <v>41.473863437030701</v>
      </c>
      <c r="AE28">
        <v>0</v>
      </c>
      <c r="AF28">
        <v>0</v>
      </c>
    </row>
    <row r="29" spans="1:32" x14ac:dyDescent="0.25">
      <c r="A29" t="str">
        <f>_xlfn.TEXTJOIN("_",TRUE,C29,D29,B29,G29)</f>
        <v>NEPAC_IPM_2019_4</v>
      </c>
      <c r="B29">
        <v>2019</v>
      </c>
      <c r="C29" t="s">
        <v>8</v>
      </c>
      <c r="D29" t="s">
        <v>10</v>
      </c>
      <c r="E29" t="str">
        <f>_xlfn.TEXTJOIN("_",TRUE,C29:D29)</f>
        <v>NEPAC_IPM</v>
      </c>
      <c r="F29" t="s">
        <v>61</v>
      </c>
      <c r="G29">
        <v>4</v>
      </c>
      <c r="H29" t="s">
        <v>21</v>
      </c>
      <c r="I29">
        <v>220</v>
      </c>
      <c r="J29" s="3">
        <v>86.91852269523541</v>
      </c>
      <c r="K29" s="3">
        <v>8.514237383704538</v>
      </c>
      <c r="L29" s="3">
        <v>79.014546264761108</v>
      </c>
      <c r="M29" s="3">
        <v>12.11127733392749</v>
      </c>
      <c r="N29">
        <v>0</v>
      </c>
      <c r="O29">
        <v>0</v>
      </c>
      <c r="P29">
        <v>0</v>
      </c>
      <c r="Q29">
        <v>1.03</v>
      </c>
      <c r="R29">
        <v>53.27</v>
      </c>
      <c r="S29">
        <f>R29/Q29</f>
        <v>51.71844660194175</v>
      </c>
      <c r="T29" t="s">
        <v>147</v>
      </c>
      <c r="U29">
        <v>23.681527038654</v>
      </c>
      <c r="V29">
        <v>5.0922532742742401</v>
      </c>
      <c r="W29">
        <v>14</v>
      </c>
      <c r="X29">
        <v>2.15569629361402</v>
      </c>
      <c r="Y29" t="s">
        <v>147</v>
      </c>
      <c r="Z29">
        <v>25.435773238583899</v>
      </c>
      <c r="AA29">
        <v>17.4452694305471</v>
      </c>
      <c r="AB29">
        <v>8.1625824543513605</v>
      </c>
      <c r="AC29">
        <v>0</v>
      </c>
      <c r="AD29">
        <v>29.1004110767662</v>
      </c>
      <c r="AE29">
        <v>16.905133679615101</v>
      </c>
      <c r="AF29">
        <v>0</v>
      </c>
    </row>
    <row r="30" spans="1:32" x14ac:dyDescent="0.25">
      <c r="A30" t="str">
        <f>_xlfn.TEXTJOIN("_",TRUE,C30,D30,B30,G30)</f>
        <v>NEPAC_IPM_2019_5</v>
      </c>
      <c r="B30">
        <v>2019</v>
      </c>
      <c r="C30" t="s">
        <v>8</v>
      </c>
      <c r="D30" t="s">
        <v>10</v>
      </c>
      <c r="E30" t="str">
        <f>_xlfn.TEXTJOIN("_",TRUE,C30:D30)</f>
        <v>NEPAC_IPM</v>
      </c>
      <c r="F30" t="s">
        <v>62</v>
      </c>
      <c r="G30">
        <v>5</v>
      </c>
      <c r="H30" t="s">
        <v>22</v>
      </c>
      <c r="I30">
        <v>234</v>
      </c>
      <c r="J30" s="3">
        <v>86.91852269523541</v>
      </c>
      <c r="K30" s="3">
        <v>8.514237383704538</v>
      </c>
      <c r="L30" s="3">
        <v>79.014546264761108</v>
      </c>
      <c r="M30" s="3">
        <v>12.11127733392749</v>
      </c>
      <c r="N30">
        <v>0</v>
      </c>
      <c r="O30">
        <v>0</v>
      </c>
      <c r="P30">
        <v>0</v>
      </c>
      <c r="Q30">
        <v>1.04</v>
      </c>
      <c r="R30">
        <v>89.33</v>
      </c>
      <c r="S30">
        <f>R30/Q30</f>
        <v>85.894230769230759</v>
      </c>
      <c r="T30" t="s">
        <v>148</v>
      </c>
      <c r="U30">
        <v>18.206407341921398</v>
      </c>
      <c r="V30">
        <v>0.78197356234739401</v>
      </c>
      <c r="W30">
        <v>10</v>
      </c>
      <c r="X30">
        <v>1.3645672494363701</v>
      </c>
      <c r="Y30" t="s">
        <v>148</v>
      </c>
      <c r="Z30">
        <v>26.204007746063802</v>
      </c>
      <c r="AA30">
        <v>0.78197356234739401</v>
      </c>
      <c r="AB30">
        <v>5.6916729813926104</v>
      </c>
      <c r="AC30">
        <v>0</v>
      </c>
      <c r="AD30">
        <v>4.2340237433695398</v>
      </c>
      <c r="AE30">
        <v>60.841331986191797</v>
      </c>
      <c r="AF30">
        <v>0</v>
      </c>
    </row>
    <row r="31" spans="1:32" x14ac:dyDescent="0.25">
      <c r="A31" t="str">
        <f>_xlfn.TEXTJOIN("_",TRUE,C31,D31,B31,G31)</f>
        <v>NEPAC_IPM_2019_6</v>
      </c>
      <c r="B31">
        <v>2019</v>
      </c>
      <c r="C31" t="s">
        <v>8</v>
      </c>
      <c r="D31" t="s">
        <v>10</v>
      </c>
      <c r="E31" t="str">
        <f>_xlfn.TEXTJOIN("_",TRUE,C31:D31)</f>
        <v>NEPAC_IPM</v>
      </c>
      <c r="F31" t="s">
        <v>63</v>
      </c>
      <c r="G31">
        <v>6</v>
      </c>
      <c r="H31" t="s">
        <v>23</v>
      </c>
      <c r="I31">
        <v>249</v>
      </c>
      <c r="J31" s="3">
        <v>86.91852269523541</v>
      </c>
      <c r="K31" s="3">
        <v>8.514237383704538</v>
      </c>
      <c r="L31" s="3">
        <v>79.014546264761108</v>
      </c>
      <c r="M31" s="3">
        <v>12.11127733392749</v>
      </c>
      <c r="N31">
        <v>0</v>
      </c>
      <c r="O31">
        <v>67.753900000000002</v>
      </c>
      <c r="P31">
        <v>0</v>
      </c>
      <c r="Q31">
        <v>1.03</v>
      </c>
      <c r="R31">
        <v>63.74</v>
      </c>
      <c r="S31">
        <f>R31/Q31</f>
        <v>61.883495145631066</v>
      </c>
      <c r="T31" t="s">
        <v>149</v>
      </c>
      <c r="U31">
        <v>0.855345412689277</v>
      </c>
      <c r="V31">
        <v>0</v>
      </c>
      <c r="W31">
        <v>8</v>
      </c>
      <c r="X31">
        <v>1.35408442203243</v>
      </c>
      <c r="Y31" t="s">
        <v>149</v>
      </c>
      <c r="Z31">
        <v>34.710948818194503</v>
      </c>
      <c r="AA31">
        <v>0</v>
      </c>
      <c r="AB31">
        <v>7.2605132072476097</v>
      </c>
      <c r="AC31">
        <v>0</v>
      </c>
      <c r="AD31">
        <v>1.10440770803151</v>
      </c>
      <c r="AE31">
        <v>54.939570144277504</v>
      </c>
      <c r="AF31">
        <v>0</v>
      </c>
    </row>
    <row r="32" spans="1:32" x14ac:dyDescent="0.25">
      <c r="A32" t="str">
        <f>_xlfn.TEXTJOIN("_",TRUE,C32,D32,B32,G32)</f>
        <v>NEPAC_IPM_2020_1</v>
      </c>
      <c r="B32">
        <v>2020</v>
      </c>
      <c r="C32" t="s">
        <v>8</v>
      </c>
      <c r="D32" t="s">
        <v>10</v>
      </c>
      <c r="E32" t="str">
        <f>_xlfn.TEXTJOIN("_",TRUE,C32:D32)</f>
        <v>NEPAC_IPM</v>
      </c>
      <c r="F32" t="s">
        <v>84</v>
      </c>
      <c r="G32">
        <v>1</v>
      </c>
      <c r="H32" t="s">
        <v>24</v>
      </c>
      <c r="I32">
        <v>177</v>
      </c>
      <c r="J32" s="3">
        <v>86.91852269523541</v>
      </c>
      <c r="K32" s="3">
        <v>8.514237383704538</v>
      </c>
      <c r="L32" s="3">
        <v>79.014546264761108</v>
      </c>
      <c r="M32" s="3">
        <v>12.11127733392749</v>
      </c>
      <c r="N32">
        <v>0</v>
      </c>
      <c r="O32">
        <v>13.7902</v>
      </c>
      <c r="P32">
        <v>0</v>
      </c>
      <c r="Q32">
        <v>1.05</v>
      </c>
      <c r="R32">
        <v>62.79</v>
      </c>
      <c r="S32">
        <f>R32/Q32</f>
        <v>59.8</v>
      </c>
      <c r="T32" t="s">
        <v>150</v>
      </c>
      <c r="U32">
        <v>32.180038328067504</v>
      </c>
      <c r="V32">
        <v>0</v>
      </c>
      <c r="W32">
        <v>8</v>
      </c>
      <c r="X32">
        <v>1.85259328955571</v>
      </c>
      <c r="Y32" t="s">
        <v>150</v>
      </c>
      <c r="Z32">
        <v>72.895840886724997</v>
      </c>
      <c r="AA32">
        <v>0</v>
      </c>
      <c r="AB32">
        <v>14.160667115553901</v>
      </c>
      <c r="AC32">
        <v>4.9671103744755802</v>
      </c>
      <c r="AD32">
        <v>6.7333091624799302</v>
      </c>
      <c r="AE32">
        <v>0</v>
      </c>
      <c r="AF32">
        <v>0</v>
      </c>
    </row>
    <row r="33" spans="1:32" x14ac:dyDescent="0.25">
      <c r="A33" t="str">
        <f>_xlfn.TEXTJOIN("_",TRUE,C33,D33,B33,G33)</f>
        <v>NEPAC_IPM_2020_2</v>
      </c>
      <c r="B33">
        <v>2020</v>
      </c>
      <c r="C33" t="s">
        <v>8</v>
      </c>
      <c r="D33" t="s">
        <v>10</v>
      </c>
      <c r="E33" t="str">
        <f>_xlfn.TEXTJOIN("_",TRUE,C33:D33)</f>
        <v>NEPAC_IPM</v>
      </c>
      <c r="F33" t="s">
        <v>85</v>
      </c>
      <c r="G33">
        <v>2</v>
      </c>
      <c r="H33" t="s">
        <v>19</v>
      </c>
      <c r="I33">
        <v>189</v>
      </c>
      <c r="J33" s="3">
        <v>86.91852269523541</v>
      </c>
      <c r="K33" s="3">
        <v>8.514237383704538</v>
      </c>
      <c r="L33" s="3">
        <v>79.014546264761108</v>
      </c>
      <c r="M33" s="3">
        <v>12.11127733392749</v>
      </c>
      <c r="N33">
        <v>0</v>
      </c>
      <c r="O33">
        <v>2.4935999999999998</v>
      </c>
      <c r="P33">
        <v>0</v>
      </c>
      <c r="Q33">
        <v>1.03</v>
      </c>
      <c r="R33">
        <v>106.25</v>
      </c>
      <c r="S33">
        <f>R33/Q33</f>
        <v>103.15533980582524</v>
      </c>
      <c r="T33" t="s">
        <v>151</v>
      </c>
      <c r="U33">
        <v>39.6856292922986</v>
      </c>
      <c r="V33">
        <v>1.01729773403357</v>
      </c>
      <c r="W33">
        <v>10</v>
      </c>
      <c r="X33">
        <v>1.97170425577464</v>
      </c>
      <c r="Y33" t="s">
        <v>151</v>
      </c>
      <c r="Z33">
        <v>49.050644533401901</v>
      </c>
      <c r="AA33">
        <v>1.01729773403357</v>
      </c>
      <c r="AB33">
        <v>18.897131734547699</v>
      </c>
      <c r="AC33">
        <v>10.4924896250321</v>
      </c>
      <c r="AD33">
        <v>17.661316978221699</v>
      </c>
      <c r="AE33">
        <v>1.85096771824158</v>
      </c>
      <c r="AF33">
        <v>0</v>
      </c>
    </row>
    <row r="34" spans="1:32" x14ac:dyDescent="0.25">
      <c r="A34" t="str">
        <f>_xlfn.TEXTJOIN("_",TRUE,C34,D34,B34,G34)</f>
        <v>NEPAC_IPM_2020_3</v>
      </c>
      <c r="B34">
        <v>2020</v>
      </c>
      <c r="C34" t="s">
        <v>8</v>
      </c>
      <c r="D34" t="s">
        <v>10</v>
      </c>
      <c r="E34" t="str">
        <f>_xlfn.TEXTJOIN("_",TRUE,C34:D34)</f>
        <v>NEPAC_IPM</v>
      </c>
      <c r="F34" t="s">
        <v>86</v>
      </c>
      <c r="G34">
        <v>3</v>
      </c>
      <c r="H34" t="s">
        <v>20</v>
      </c>
      <c r="I34">
        <v>202</v>
      </c>
      <c r="J34" s="3">
        <v>86.91852269523541</v>
      </c>
      <c r="K34" s="3">
        <v>8.514237383704538</v>
      </c>
      <c r="L34" s="3">
        <v>79.014546264761108</v>
      </c>
      <c r="M34" s="3">
        <v>12.11127733392749</v>
      </c>
      <c r="N34">
        <v>0</v>
      </c>
      <c r="O34">
        <v>29.6066</v>
      </c>
      <c r="P34">
        <v>0</v>
      </c>
      <c r="Q34">
        <v>1.04</v>
      </c>
      <c r="R34">
        <v>69.260000000000005</v>
      </c>
      <c r="S34">
        <f>R34/Q34</f>
        <v>66.596153846153854</v>
      </c>
      <c r="T34" t="s">
        <v>152</v>
      </c>
      <c r="U34">
        <v>34.584239130434803</v>
      </c>
      <c r="V34">
        <v>0</v>
      </c>
      <c r="W34">
        <v>8</v>
      </c>
      <c r="X34">
        <v>1.7127127458859299</v>
      </c>
      <c r="Y34" t="s">
        <v>152</v>
      </c>
      <c r="Z34">
        <v>39.997282608695699</v>
      </c>
      <c r="AA34">
        <v>0</v>
      </c>
      <c r="AB34">
        <v>14.0652173913043</v>
      </c>
      <c r="AC34">
        <v>6.6440217391304301</v>
      </c>
      <c r="AD34">
        <v>38.002717391304301</v>
      </c>
      <c r="AE34">
        <v>0</v>
      </c>
      <c r="AF34">
        <v>0</v>
      </c>
    </row>
    <row r="35" spans="1:32" x14ac:dyDescent="0.25">
      <c r="A35" t="str">
        <f>_xlfn.TEXTJOIN("_",TRUE,C35,D35,B35,G35)</f>
        <v>NEPAC_IPM_2020_4</v>
      </c>
      <c r="B35">
        <v>2020</v>
      </c>
      <c r="C35" t="s">
        <v>8</v>
      </c>
      <c r="D35" t="s">
        <v>10</v>
      </c>
      <c r="E35" t="str">
        <f>_xlfn.TEXTJOIN("_",TRUE,C35:D35)</f>
        <v>NEPAC_IPM</v>
      </c>
      <c r="F35" t="s">
        <v>87</v>
      </c>
      <c r="G35">
        <v>4</v>
      </c>
      <c r="H35" t="s">
        <v>21</v>
      </c>
      <c r="I35">
        <v>217</v>
      </c>
      <c r="J35" s="3">
        <v>86.91852269523541</v>
      </c>
      <c r="K35" s="3">
        <v>8.514237383704538</v>
      </c>
      <c r="L35" s="3">
        <v>79.014546264761108</v>
      </c>
      <c r="M35" s="3">
        <v>12.11127733392749</v>
      </c>
      <c r="N35">
        <v>1.7265999999999999</v>
      </c>
      <c r="O35">
        <v>28.411300000000001</v>
      </c>
      <c r="P35">
        <v>0</v>
      </c>
      <c r="Q35">
        <v>1.03</v>
      </c>
      <c r="R35">
        <v>52.25</v>
      </c>
      <c r="S35">
        <f>R35/Q35</f>
        <v>50.728155339805824</v>
      </c>
      <c r="T35" t="s">
        <v>153</v>
      </c>
      <c r="U35">
        <v>2.8916815236770002</v>
      </c>
      <c r="V35">
        <v>0</v>
      </c>
      <c r="W35">
        <v>15</v>
      </c>
      <c r="X35">
        <v>2.2024085749838398</v>
      </c>
      <c r="Y35" t="s">
        <v>153</v>
      </c>
      <c r="Z35">
        <v>2.8916815236770002</v>
      </c>
      <c r="AA35">
        <v>0</v>
      </c>
      <c r="AB35">
        <v>39.176849154237502</v>
      </c>
      <c r="AC35">
        <v>0</v>
      </c>
      <c r="AD35">
        <v>25.685959038135401</v>
      </c>
      <c r="AE35">
        <v>30.0017393573075</v>
      </c>
      <c r="AF35">
        <v>0</v>
      </c>
    </row>
    <row r="36" spans="1:32" x14ac:dyDescent="0.25">
      <c r="A36" t="str">
        <f>_xlfn.TEXTJOIN("_",TRUE,C36,D36,B36,G36)</f>
        <v>NEPAC_IPM_2020_5</v>
      </c>
      <c r="B36">
        <v>2020</v>
      </c>
      <c r="C36" t="s">
        <v>8</v>
      </c>
      <c r="D36" t="s">
        <v>10</v>
      </c>
      <c r="E36" t="str">
        <f>_xlfn.TEXTJOIN("_",TRUE,C36:D36)</f>
        <v>NEPAC_IPM</v>
      </c>
      <c r="F36" t="s">
        <v>88</v>
      </c>
      <c r="G36">
        <v>5</v>
      </c>
      <c r="H36" t="s">
        <v>22</v>
      </c>
      <c r="I36">
        <v>229</v>
      </c>
      <c r="J36" s="3">
        <v>86.91852269523541</v>
      </c>
      <c r="K36" s="3">
        <v>8.514237383704538</v>
      </c>
      <c r="L36" s="3">
        <v>79.014546264761108</v>
      </c>
      <c r="M36" s="3">
        <v>12.11127733392749</v>
      </c>
      <c r="N36">
        <v>1.2095</v>
      </c>
      <c r="O36">
        <v>37.650500000000001</v>
      </c>
      <c r="P36">
        <v>0</v>
      </c>
      <c r="Q36">
        <v>1.05</v>
      </c>
      <c r="R36">
        <v>49.6</v>
      </c>
      <c r="S36">
        <f>R36/Q36</f>
        <v>47.238095238095241</v>
      </c>
      <c r="T36" t="s">
        <v>154</v>
      </c>
      <c r="U36">
        <v>14.3661196718031</v>
      </c>
      <c r="V36">
        <v>10.2211326796078</v>
      </c>
      <c r="W36">
        <v>12</v>
      </c>
      <c r="X36">
        <v>1.65459553343806</v>
      </c>
      <c r="Y36" t="s">
        <v>154</v>
      </c>
      <c r="Z36">
        <v>21.177706623974402</v>
      </c>
      <c r="AA36">
        <v>10.2211326796078</v>
      </c>
      <c r="AB36">
        <v>2.24134480688413</v>
      </c>
      <c r="AC36">
        <v>0.51030618371022596</v>
      </c>
      <c r="AD36">
        <v>62.872723634180502</v>
      </c>
      <c r="AE36">
        <v>0</v>
      </c>
      <c r="AF36">
        <v>0</v>
      </c>
    </row>
    <row r="37" spans="1:32" x14ac:dyDescent="0.25">
      <c r="A37" t="str">
        <f>_xlfn.TEXTJOIN("_",TRUE,C37,D37,B37,G37)</f>
        <v>NEPAC_IPM_2020_6</v>
      </c>
      <c r="B37">
        <v>2020</v>
      </c>
      <c r="C37" t="s">
        <v>8</v>
      </c>
      <c r="D37" t="s">
        <v>10</v>
      </c>
      <c r="E37" t="str">
        <f>_xlfn.TEXTJOIN("_",TRUE,C37:D37)</f>
        <v>NEPAC_IPM</v>
      </c>
      <c r="F37" t="s">
        <v>89</v>
      </c>
      <c r="G37">
        <v>6</v>
      </c>
      <c r="H37" t="s">
        <v>23</v>
      </c>
      <c r="I37">
        <v>246</v>
      </c>
      <c r="J37" s="3">
        <v>86.91852269523541</v>
      </c>
      <c r="K37" s="3">
        <v>8.514237383704538</v>
      </c>
      <c r="L37" s="3">
        <v>79.014546264761108</v>
      </c>
      <c r="M37" s="3">
        <v>12.11127733392749</v>
      </c>
      <c r="N37">
        <v>0</v>
      </c>
      <c r="O37">
        <v>0</v>
      </c>
      <c r="P37">
        <v>1.5797000000000001</v>
      </c>
      <c r="Q37">
        <v>1.02</v>
      </c>
      <c r="R37">
        <v>59.32</v>
      </c>
      <c r="S37">
        <f>R37/Q37</f>
        <v>58.156862745098039</v>
      </c>
      <c r="T37" t="s">
        <v>155</v>
      </c>
      <c r="U37">
        <v>13.248620202798101</v>
      </c>
      <c r="V37">
        <v>0</v>
      </c>
      <c r="W37">
        <v>12</v>
      </c>
      <c r="X37">
        <v>1.77238944846691</v>
      </c>
      <c r="Y37" t="s">
        <v>155</v>
      </c>
      <c r="Z37">
        <v>15.790014118855099</v>
      </c>
      <c r="AA37">
        <v>2.9161853420613499</v>
      </c>
      <c r="AB37">
        <v>8.1196252085739999</v>
      </c>
      <c r="AC37">
        <v>0</v>
      </c>
      <c r="AD37">
        <v>69.380053908355805</v>
      </c>
      <c r="AE37">
        <v>0</v>
      </c>
      <c r="AF37">
        <v>0</v>
      </c>
    </row>
    <row r="38" spans="1:32" x14ac:dyDescent="0.25">
      <c r="A38" t="str">
        <f>_xlfn.TEXTJOIN("_",TRUE,C38,D38,B38,G38)</f>
        <v>PPAC_CM_2018_1</v>
      </c>
      <c r="B38">
        <v>2018</v>
      </c>
      <c r="C38" t="s">
        <v>11</v>
      </c>
      <c r="D38" t="s">
        <v>9</v>
      </c>
      <c r="E38" t="str">
        <f>_xlfn.TEXTJOIN("_",TRUE,C38:D38)</f>
        <v>PPAC_CM</v>
      </c>
      <c r="F38" t="s">
        <v>36</v>
      </c>
      <c r="G38">
        <v>1</v>
      </c>
      <c r="H38" t="s">
        <v>24</v>
      </c>
      <c r="I38">
        <v>177</v>
      </c>
      <c r="J38" s="3">
        <v>79.267605633802816</v>
      </c>
      <c r="K38" s="3">
        <v>10.845070422535212</v>
      </c>
      <c r="L38" s="3">
        <v>88.205356574845723</v>
      </c>
      <c r="M38" s="3">
        <v>6.848400025446912</v>
      </c>
      <c r="N38">
        <v>2.6497000000000002</v>
      </c>
      <c r="O38">
        <v>30.2089</v>
      </c>
      <c r="P38">
        <v>0</v>
      </c>
      <c r="Q38">
        <v>1.01</v>
      </c>
      <c r="R38">
        <v>52.12</v>
      </c>
      <c r="S38">
        <f>R38/Q38</f>
        <v>51.603960396039604</v>
      </c>
      <c r="T38" t="s">
        <v>156</v>
      </c>
      <c r="U38">
        <v>12.649067373356401</v>
      </c>
      <c r="V38">
        <v>22.413617368260098</v>
      </c>
      <c r="W38">
        <v>9</v>
      </c>
      <c r="X38">
        <v>1.6426237347653001</v>
      </c>
      <c r="Y38" t="s">
        <v>156</v>
      </c>
      <c r="Z38">
        <v>59.1631841810213</v>
      </c>
      <c r="AA38">
        <v>22.413617368260098</v>
      </c>
      <c r="AB38">
        <v>6.8137804505147299</v>
      </c>
      <c r="AC38">
        <v>5.3766180817449802</v>
      </c>
      <c r="AD38">
        <v>3.8630109061257798</v>
      </c>
      <c r="AE38">
        <v>0</v>
      </c>
      <c r="AF38">
        <v>0</v>
      </c>
    </row>
    <row r="39" spans="1:32" x14ac:dyDescent="0.25">
      <c r="A39" t="str">
        <f>_xlfn.TEXTJOIN("_",TRUE,C39,D39,B39,G39)</f>
        <v>PPAC_CM_2018_2</v>
      </c>
      <c r="B39">
        <v>2018</v>
      </c>
      <c r="C39" t="s">
        <v>11</v>
      </c>
      <c r="D39" t="s">
        <v>9</v>
      </c>
      <c r="E39" t="str">
        <f>_xlfn.TEXTJOIN("_",TRUE,C39:D39)</f>
        <v>PPAC_CM</v>
      </c>
      <c r="F39" t="s">
        <v>37</v>
      </c>
      <c r="G39">
        <v>2</v>
      </c>
      <c r="H39" t="s">
        <v>19</v>
      </c>
      <c r="I39">
        <v>191</v>
      </c>
      <c r="J39" s="3">
        <v>79.267605633802816</v>
      </c>
      <c r="K39" s="3">
        <v>10.845070422535212</v>
      </c>
      <c r="L39" s="3">
        <v>88.205356574845723</v>
      </c>
      <c r="M39" s="3">
        <v>6.848400025446912</v>
      </c>
      <c r="N39">
        <v>2.3115999999999999</v>
      </c>
      <c r="O39">
        <v>8.9326000000000008</v>
      </c>
      <c r="P39">
        <v>0.72809999999999997</v>
      </c>
      <c r="Q39">
        <v>1.01</v>
      </c>
      <c r="R39">
        <v>61.24</v>
      </c>
      <c r="S39">
        <f>R39/Q39</f>
        <v>60.633663366336634</v>
      </c>
      <c r="T39" t="s">
        <v>157</v>
      </c>
      <c r="U39">
        <v>14.264843706929801</v>
      </c>
      <c r="V39">
        <v>0</v>
      </c>
      <c r="W39">
        <v>10</v>
      </c>
      <c r="X39">
        <v>1.72680266538236</v>
      </c>
      <c r="Y39" t="s">
        <v>157</v>
      </c>
      <c r="Z39">
        <v>59.391366668504297</v>
      </c>
      <c r="AA39">
        <v>0</v>
      </c>
      <c r="AB39">
        <v>14.3144605546061</v>
      </c>
      <c r="AC39">
        <v>23.468768950879301</v>
      </c>
      <c r="AD39">
        <v>1.4526710402999099</v>
      </c>
      <c r="AE39">
        <v>0</v>
      </c>
      <c r="AF39">
        <v>0</v>
      </c>
    </row>
    <row r="40" spans="1:32" x14ac:dyDescent="0.25">
      <c r="A40" t="str">
        <f>_xlfn.TEXTJOIN("_",TRUE,C40,D40,B40,G40)</f>
        <v>PPAC_CM_2018_3</v>
      </c>
      <c r="B40">
        <v>2018</v>
      </c>
      <c r="C40" t="s">
        <v>11</v>
      </c>
      <c r="D40" t="s">
        <v>9</v>
      </c>
      <c r="E40" t="str">
        <f>_xlfn.TEXTJOIN("_",TRUE,C40:D40)</f>
        <v>PPAC_CM</v>
      </c>
      <c r="F40" t="s">
        <v>38</v>
      </c>
      <c r="G40">
        <v>3</v>
      </c>
      <c r="H40" t="s">
        <v>20</v>
      </c>
      <c r="I40">
        <v>206</v>
      </c>
      <c r="J40" s="3">
        <v>79.267605633802816</v>
      </c>
      <c r="K40" s="3">
        <v>10.845070422535212</v>
      </c>
      <c r="L40" s="3">
        <v>88.205356574845723</v>
      </c>
      <c r="M40" s="3">
        <v>6.848400025446912</v>
      </c>
      <c r="N40">
        <v>2.7786</v>
      </c>
      <c r="O40">
        <v>4.3930999999999996</v>
      </c>
      <c r="P40">
        <v>2.1055999999999999</v>
      </c>
      <c r="Q40">
        <v>0.98</v>
      </c>
      <c r="R40">
        <v>80.44</v>
      </c>
      <c r="S40">
        <f>R40/Q40</f>
        <v>82.08163265306122</v>
      </c>
      <c r="T40" t="s">
        <v>158</v>
      </c>
      <c r="U40">
        <v>26.6427618412275</v>
      </c>
      <c r="V40">
        <v>21.917945296864598</v>
      </c>
      <c r="W40">
        <v>9</v>
      </c>
      <c r="X40">
        <v>1.86203452574937</v>
      </c>
      <c r="Y40" t="s">
        <v>158</v>
      </c>
      <c r="Z40">
        <v>43.735823882588399</v>
      </c>
      <c r="AA40">
        <v>21.917945296864598</v>
      </c>
      <c r="AB40">
        <v>0</v>
      </c>
      <c r="AC40">
        <v>14.5413609072715</v>
      </c>
      <c r="AD40">
        <v>17.895263509006</v>
      </c>
      <c r="AE40">
        <v>0</v>
      </c>
      <c r="AF40">
        <v>0</v>
      </c>
    </row>
    <row r="41" spans="1:32" x14ac:dyDescent="0.25">
      <c r="A41" t="str">
        <f>_xlfn.TEXTJOIN("_",TRUE,C41,D41,B41,G41)</f>
        <v>PPAC_CM_2018_4</v>
      </c>
      <c r="B41">
        <v>2018</v>
      </c>
      <c r="C41" t="s">
        <v>11</v>
      </c>
      <c r="D41" t="s">
        <v>9</v>
      </c>
      <c r="E41" t="str">
        <f>_xlfn.TEXTJOIN("_",TRUE,C41:D41)</f>
        <v>PPAC_CM</v>
      </c>
      <c r="F41" t="s">
        <v>39</v>
      </c>
      <c r="G41">
        <v>4</v>
      </c>
      <c r="H41" t="s">
        <v>21</v>
      </c>
      <c r="I41">
        <v>218</v>
      </c>
      <c r="J41" s="3">
        <v>79.267605633802816</v>
      </c>
      <c r="K41" s="3">
        <v>10.845070422535212</v>
      </c>
      <c r="L41" s="3">
        <v>88.205356574845723</v>
      </c>
      <c r="M41" s="3">
        <v>6.848400025446912</v>
      </c>
      <c r="N41">
        <v>5.7107999999999999</v>
      </c>
      <c r="O41">
        <v>26.447099999999999</v>
      </c>
      <c r="P41">
        <v>0.50919999999999999</v>
      </c>
      <c r="Q41">
        <v>1.02</v>
      </c>
      <c r="R41">
        <v>40.94</v>
      </c>
      <c r="S41">
        <f>R41/Q41</f>
        <v>40.13725490196078</v>
      </c>
      <c r="T41" t="s">
        <v>159</v>
      </c>
      <c r="U41">
        <v>17.498009121841701</v>
      </c>
      <c r="V41">
        <v>3.0912908130022401</v>
      </c>
      <c r="W41">
        <v>7</v>
      </c>
      <c r="X41">
        <v>1.3371513538446</v>
      </c>
      <c r="Y41" t="s">
        <v>159</v>
      </c>
      <c r="Z41">
        <v>73.314993122420901</v>
      </c>
      <c r="AA41">
        <v>3.0912908130022401</v>
      </c>
      <c r="AB41">
        <v>0</v>
      </c>
      <c r="AC41">
        <v>0</v>
      </c>
      <c r="AD41">
        <v>16.448273365670001</v>
      </c>
      <c r="AE41">
        <v>0</v>
      </c>
      <c r="AF41">
        <v>4.7563889089987699</v>
      </c>
    </row>
    <row r="42" spans="1:32" x14ac:dyDescent="0.25">
      <c r="A42" t="str">
        <f>_xlfn.TEXTJOIN("_",TRUE,C42,D42,B42,G42)</f>
        <v>PPAC_CM_2018_5</v>
      </c>
      <c r="B42">
        <v>2018</v>
      </c>
      <c r="C42" t="s">
        <v>11</v>
      </c>
      <c r="D42" t="s">
        <v>9</v>
      </c>
      <c r="E42" t="str">
        <f>_xlfn.TEXTJOIN("_",TRUE,C42:D42)</f>
        <v>PPAC_CM</v>
      </c>
      <c r="F42" t="s">
        <v>40</v>
      </c>
      <c r="G42">
        <v>5</v>
      </c>
      <c r="H42" t="s">
        <v>22</v>
      </c>
      <c r="I42">
        <v>230</v>
      </c>
      <c r="J42" s="3">
        <v>79.267605633802816</v>
      </c>
      <c r="K42" s="3">
        <v>10.845070422535212</v>
      </c>
      <c r="L42" s="3">
        <v>88.205356574845723</v>
      </c>
      <c r="M42" s="3">
        <v>6.848400025446912</v>
      </c>
      <c r="N42">
        <v>7.7449000000000003</v>
      </c>
      <c r="O42">
        <v>14.9985</v>
      </c>
      <c r="P42">
        <v>1.0382</v>
      </c>
      <c r="Q42">
        <v>1.03</v>
      </c>
      <c r="R42">
        <v>66.27</v>
      </c>
      <c r="S42">
        <f>R42/Q42</f>
        <v>64.339805825242706</v>
      </c>
      <c r="T42" t="s">
        <v>160</v>
      </c>
      <c r="U42">
        <v>15.7238749527291</v>
      </c>
      <c r="V42">
        <v>0</v>
      </c>
      <c r="W42">
        <v>7</v>
      </c>
      <c r="X42">
        <v>1.1890119092213201</v>
      </c>
      <c r="Y42" t="s">
        <v>160</v>
      </c>
      <c r="Z42">
        <v>15.7238749527291</v>
      </c>
      <c r="AA42">
        <v>0</v>
      </c>
      <c r="AB42">
        <v>1.6970250850876101</v>
      </c>
      <c r="AC42">
        <v>0</v>
      </c>
      <c r="AD42">
        <v>18.845329635698999</v>
      </c>
      <c r="AE42">
        <v>61.980020168914699</v>
      </c>
      <c r="AF42">
        <v>0</v>
      </c>
    </row>
    <row r="43" spans="1:32" x14ac:dyDescent="0.25">
      <c r="A43" t="str">
        <f>_xlfn.TEXTJOIN("_",TRUE,C43,D43,B43,G43)</f>
        <v>PPAC_CM_2018_6</v>
      </c>
      <c r="B43">
        <v>2018</v>
      </c>
      <c r="C43" t="s">
        <v>11</v>
      </c>
      <c r="D43" t="s">
        <v>9</v>
      </c>
      <c r="E43" t="str">
        <f>_xlfn.TEXTJOIN("_",TRUE,C43:D43)</f>
        <v>PPAC_CM</v>
      </c>
      <c r="F43" t="s">
        <v>41</v>
      </c>
      <c r="G43">
        <v>6</v>
      </c>
      <c r="H43" t="s">
        <v>23</v>
      </c>
      <c r="I43">
        <v>248</v>
      </c>
      <c r="J43" s="3">
        <v>79.267605633802816</v>
      </c>
      <c r="K43" s="3">
        <v>10.845070422535212</v>
      </c>
      <c r="L43" s="3">
        <v>88.205356574845723</v>
      </c>
      <c r="M43" s="3">
        <v>6.848400025446912</v>
      </c>
      <c r="N43">
        <v>1.3184</v>
      </c>
      <c r="O43">
        <v>23.777100000000001</v>
      </c>
      <c r="P43">
        <v>0.80800000000000005</v>
      </c>
      <c r="Q43">
        <v>1.05</v>
      </c>
      <c r="R43">
        <v>139.63</v>
      </c>
      <c r="S43">
        <f>R43/Q43</f>
        <v>132.98095238095237</v>
      </c>
      <c r="T43" t="s">
        <v>161</v>
      </c>
      <c r="U43">
        <v>5.2508294421233703</v>
      </c>
      <c r="V43">
        <v>0</v>
      </c>
      <c r="W43">
        <v>5</v>
      </c>
      <c r="X43">
        <v>1.0063762604712601</v>
      </c>
      <c r="Y43" t="s">
        <v>161</v>
      </c>
      <c r="Z43">
        <v>5.2508294421233703</v>
      </c>
      <c r="AA43">
        <v>1.7548844925042999</v>
      </c>
      <c r="AB43">
        <v>16.247849594495001</v>
      </c>
      <c r="AC43">
        <v>0</v>
      </c>
      <c r="AD43">
        <v>0</v>
      </c>
      <c r="AE43">
        <v>75.681985745883495</v>
      </c>
      <c r="AF43">
        <v>0</v>
      </c>
    </row>
    <row r="44" spans="1:32" x14ac:dyDescent="0.25">
      <c r="A44" t="str">
        <f>_xlfn.TEXTJOIN("_",TRUE,C44,D44,B44,G44)</f>
        <v>PPAC_CM_2019_1</v>
      </c>
      <c r="B44">
        <v>2019</v>
      </c>
      <c r="C44" t="s">
        <v>11</v>
      </c>
      <c r="D44" t="s">
        <v>9</v>
      </c>
      <c r="E44" t="str">
        <f>_xlfn.TEXTJOIN("_",TRUE,C44:D44)</f>
        <v>PPAC_CM</v>
      </c>
      <c r="F44" t="s">
        <v>64</v>
      </c>
      <c r="G44">
        <v>1</v>
      </c>
      <c r="H44" t="s">
        <v>24</v>
      </c>
      <c r="I44">
        <v>177</v>
      </c>
      <c r="J44" s="3">
        <v>79.267605633802816</v>
      </c>
      <c r="K44" s="3">
        <v>10.845070422535212</v>
      </c>
      <c r="L44" s="3">
        <v>88.205356574845723</v>
      </c>
      <c r="M44" s="3">
        <v>6.848400025446912</v>
      </c>
      <c r="N44">
        <v>10.7034</v>
      </c>
      <c r="O44">
        <v>10.0922</v>
      </c>
      <c r="P44">
        <v>0</v>
      </c>
      <c r="Q44">
        <v>1.04</v>
      </c>
      <c r="R44">
        <v>40.520000000000003</v>
      </c>
      <c r="S44">
        <f>R44/Q44</f>
        <v>38.96153846153846</v>
      </c>
      <c r="T44" t="s">
        <v>162</v>
      </c>
      <c r="U44">
        <v>17.0297835663666</v>
      </c>
      <c r="V44">
        <v>0</v>
      </c>
      <c r="W44">
        <v>6</v>
      </c>
      <c r="X44">
        <v>1.3438536347237</v>
      </c>
      <c r="Y44" t="s">
        <v>162</v>
      </c>
      <c r="Z44">
        <v>35.845623443784703</v>
      </c>
      <c r="AA44">
        <v>5.27437272553151</v>
      </c>
      <c r="AB44">
        <v>0</v>
      </c>
      <c r="AC44">
        <v>0</v>
      </c>
      <c r="AD44">
        <v>57.998946561961297</v>
      </c>
      <c r="AE44">
        <v>0</v>
      </c>
      <c r="AF44">
        <v>0</v>
      </c>
    </row>
    <row r="45" spans="1:32" x14ac:dyDescent="0.25">
      <c r="A45" t="str">
        <f>_xlfn.TEXTJOIN("_",TRUE,C45,D45,B45,G45)</f>
        <v>PPAC_CM_2019_2</v>
      </c>
      <c r="B45">
        <v>2019</v>
      </c>
      <c r="C45" t="s">
        <v>11</v>
      </c>
      <c r="D45" t="s">
        <v>9</v>
      </c>
      <c r="E45" t="str">
        <f>_xlfn.TEXTJOIN("_",TRUE,C45:D45)</f>
        <v>PPAC_CM</v>
      </c>
      <c r="F45" t="s">
        <v>65</v>
      </c>
      <c r="G45">
        <v>2</v>
      </c>
      <c r="H45" t="s">
        <v>19</v>
      </c>
      <c r="I45">
        <v>190</v>
      </c>
      <c r="J45" s="3">
        <v>79.267605633802816</v>
      </c>
      <c r="K45" s="3">
        <v>10.845070422535212</v>
      </c>
      <c r="L45" s="3">
        <v>88.205356574845723</v>
      </c>
      <c r="M45" s="3">
        <v>6.848400025446912</v>
      </c>
      <c r="N45">
        <v>12.0657</v>
      </c>
      <c r="O45">
        <v>5.4321999999999999</v>
      </c>
      <c r="P45">
        <v>0.36520000000000002</v>
      </c>
      <c r="Q45">
        <v>1.04</v>
      </c>
      <c r="R45">
        <v>65.239999999999995</v>
      </c>
      <c r="S45">
        <f>R45/Q45</f>
        <v>62.730769230769226</v>
      </c>
      <c r="T45" t="s">
        <v>163</v>
      </c>
      <c r="U45">
        <v>17.0700736486355</v>
      </c>
      <c r="V45">
        <v>7.6871984215358804</v>
      </c>
      <c r="W45">
        <v>8</v>
      </c>
      <c r="X45">
        <v>1.7899363752271999</v>
      </c>
      <c r="Y45" t="s">
        <v>163</v>
      </c>
      <c r="Z45">
        <v>53.792807048389299</v>
      </c>
      <c r="AA45">
        <v>7.6871984215358804</v>
      </c>
      <c r="AB45">
        <v>16.962628689757601</v>
      </c>
      <c r="AC45">
        <v>0</v>
      </c>
      <c r="AD45">
        <v>20.873625192912499</v>
      </c>
      <c r="AE45">
        <v>0</v>
      </c>
      <c r="AF45">
        <v>0</v>
      </c>
    </row>
    <row r="46" spans="1:32" x14ac:dyDescent="0.25">
      <c r="A46" t="str">
        <f>_xlfn.TEXTJOIN("_",TRUE,C46,D46,B46,G46)</f>
        <v>PPAC_CM_2019_3</v>
      </c>
      <c r="B46">
        <v>2019</v>
      </c>
      <c r="C46" t="s">
        <v>11</v>
      </c>
      <c r="D46" t="s">
        <v>9</v>
      </c>
      <c r="E46" t="str">
        <f>_xlfn.TEXTJOIN("_",TRUE,C46:D46)</f>
        <v>PPAC_CM</v>
      </c>
      <c r="F46" t="s">
        <v>60</v>
      </c>
      <c r="G46">
        <v>3</v>
      </c>
      <c r="H46" t="s">
        <v>20</v>
      </c>
      <c r="I46">
        <v>203</v>
      </c>
      <c r="J46" s="3">
        <v>79.267605633802816</v>
      </c>
      <c r="K46" s="3">
        <v>10.845070422535212</v>
      </c>
      <c r="L46" s="3">
        <v>88.205356574845723</v>
      </c>
      <c r="M46" s="3">
        <v>6.848400025446912</v>
      </c>
      <c r="N46">
        <v>2.2393999999999998</v>
      </c>
      <c r="O46">
        <v>0</v>
      </c>
      <c r="P46">
        <v>1.1914</v>
      </c>
      <c r="Q46">
        <v>0.98</v>
      </c>
      <c r="R46">
        <v>80.209999999999994</v>
      </c>
      <c r="S46">
        <f>R46/Q46</f>
        <v>81.846938775510196</v>
      </c>
      <c r="T46" t="s">
        <v>164</v>
      </c>
      <c r="U46">
        <v>1.6517285531370001</v>
      </c>
      <c r="V46">
        <v>6.47887323943662</v>
      </c>
      <c r="W46">
        <v>9</v>
      </c>
      <c r="X46">
        <v>1.52218753488304</v>
      </c>
      <c r="Y46" t="s">
        <v>164</v>
      </c>
      <c r="Z46">
        <v>73.234314980793897</v>
      </c>
      <c r="AA46">
        <v>7.2010243277848902</v>
      </c>
      <c r="AB46">
        <v>17.137003841229198</v>
      </c>
      <c r="AC46">
        <v>0</v>
      </c>
      <c r="AD46">
        <v>1.1088348271446899</v>
      </c>
      <c r="AE46">
        <v>0</v>
      </c>
      <c r="AF46">
        <v>0</v>
      </c>
    </row>
    <row r="47" spans="1:32" x14ac:dyDescent="0.25">
      <c r="A47" t="str">
        <f>_xlfn.TEXTJOIN("_",TRUE,C47,D47,B47,G47)</f>
        <v>PPAC_CM_2019_4</v>
      </c>
      <c r="B47">
        <v>2019</v>
      </c>
      <c r="C47" t="s">
        <v>11</v>
      </c>
      <c r="D47" t="s">
        <v>9</v>
      </c>
      <c r="E47" t="str">
        <f>_xlfn.TEXTJOIN("_",TRUE,C47:D47)</f>
        <v>PPAC_CM</v>
      </c>
      <c r="F47" t="s">
        <v>66</v>
      </c>
      <c r="G47">
        <v>4</v>
      </c>
      <c r="H47" t="s">
        <v>21</v>
      </c>
      <c r="I47">
        <v>217</v>
      </c>
      <c r="J47" s="3">
        <v>79.267605633802816</v>
      </c>
      <c r="K47" s="3">
        <v>10.845070422535212</v>
      </c>
      <c r="L47" s="3">
        <v>88.205356574845723</v>
      </c>
      <c r="M47" s="3">
        <v>6.848400025446912</v>
      </c>
      <c r="N47">
        <v>5.8968999999999996</v>
      </c>
      <c r="O47">
        <v>3.0093000000000001</v>
      </c>
      <c r="P47">
        <v>0</v>
      </c>
      <c r="Q47">
        <v>1.03</v>
      </c>
      <c r="R47">
        <v>64.84</v>
      </c>
      <c r="S47">
        <f>R47/Q47</f>
        <v>62.95145631067961</v>
      </c>
      <c r="T47" t="s">
        <v>165</v>
      </c>
      <c r="U47">
        <v>1.2011713902814301</v>
      </c>
      <c r="V47">
        <v>10.294336625800399</v>
      </c>
      <c r="W47">
        <v>10</v>
      </c>
      <c r="X47">
        <v>1.6656557098853499</v>
      </c>
      <c r="Y47" t="s">
        <v>165</v>
      </c>
      <c r="Z47">
        <v>66.481361989378101</v>
      </c>
      <c r="AA47">
        <v>10.294336625800399</v>
      </c>
      <c r="AB47">
        <v>11.2771132178488</v>
      </c>
      <c r="AC47">
        <v>0.52116940487417496</v>
      </c>
      <c r="AD47">
        <v>10.249664962525401</v>
      </c>
      <c r="AE47">
        <v>0</v>
      </c>
      <c r="AF47">
        <v>0</v>
      </c>
    </row>
    <row r="48" spans="1:32" x14ac:dyDescent="0.25">
      <c r="A48" t="str">
        <f>_xlfn.TEXTJOIN("_",TRUE,C48,D48,B48,G48)</f>
        <v>PPAC_CM_2019_5</v>
      </c>
      <c r="B48">
        <v>2019</v>
      </c>
      <c r="C48" t="s">
        <v>11</v>
      </c>
      <c r="D48" t="s">
        <v>9</v>
      </c>
      <c r="E48" t="str">
        <f>_xlfn.TEXTJOIN("_",TRUE,C48:D48)</f>
        <v>PPAC_CM</v>
      </c>
      <c r="F48" t="s">
        <v>67</v>
      </c>
      <c r="G48">
        <v>5</v>
      </c>
      <c r="H48" t="s">
        <v>22</v>
      </c>
      <c r="I48">
        <v>231</v>
      </c>
      <c r="J48" s="3">
        <v>79.267605633802816</v>
      </c>
      <c r="K48" s="3">
        <v>10.845070422535212</v>
      </c>
      <c r="L48" s="3">
        <v>88.205356574845723</v>
      </c>
      <c r="M48" s="3">
        <v>6.848400025446912</v>
      </c>
      <c r="N48">
        <v>0</v>
      </c>
      <c r="O48">
        <v>5.1722000000000001</v>
      </c>
      <c r="P48">
        <v>0.3982</v>
      </c>
      <c r="Q48">
        <v>1.04</v>
      </c>
      <c r="R48">
        <v>56.74</v>
      </c>
      <c r="S48">
        <f>R48/Q48</f>
        <v>54.557692307692307</v>
      </c>
      <c r="T48" t="s">
        <v>166</v>
      </c>
      <c r="U48">
        <v>42.775584573337397</v>
      </c>
      <c r="V48">
        <v>0</v>
      </c>
      <c r="W48">
        <v>11</v>
      </c>
      <c r="X48">
        <v>1.67226296435976</v>
      </c>
      <c r="Y48" t="s">
        <v>166</v>
      </c>
      <c r="Z48">
        <v>44.263589432128803</v>
      </c>
      <c r="AA48">
        <v>0</v>
      </c>
      <c r="AB48">
        <v>9.2256301245065302</v>
      </c>
      <c r="AC48">
        <v>0</v>
      </c>
      <c r="AD48">
        <v>40.771333130883697</v>
      </c>
      <c r="AE48">
        <v>2.59337989675068</v>
      </c>
      <c r="AF48">
        <v>0</v>
      </c>
    </row>
    <row r="49" spans="1:32" x14ac:dyDescent="0.25">
      <c r="A49" t="str">
        <f>_xlfn.TEXTJOIN("_",TRUE,C49,D49,B49,G49)</f>
        <v>PPAC_CM_2019_6</v>
      </c>
      <c r="B49">
        <v>2019</v>
      </c>
      <c r="C49" t="s">
        <v>11</v>
      </c>
      <c r="D49" t="s">
        <v>9</v>
      </c>
      <c r="E49" t="str">
        <f>_xlfn.TEXTJOIN("_",TRUE,C49:D49)</f>
        <v>PPAC_CM</v>
      </c>
      <c r="F49" t="s">
        <v>68</v>
      </c>
      <c r="G49">
        <v>6</v>
      </c>
      <c r="H49" t="s">
        <v>23</v>
      </c>
      <c r="I49">
        <v>247</v>
      </c>
      <c r="J49" s="3">
        <v>79.267605633802816</v>
      </c>
      <c r="K49" s="3">
        <v>10.845070422535212</v>
      </c>
      <c r="L49" s="3">
        <v>88.205356574845723</v>
      </c>
      <c r="M49" s="3">
        <v>6.848400025446912</v>
      </c>
      <c r="N49">
        <v>0</v>
      </c>
      <c r="O49">
        <v>10.691599999999999</v>
      </c>
      <c r="P49">
        <v>0.26279999999999998</v>
      </c>
      <c r="Q49">
        <v>1.02</v>
      </c>
      <c r="R49">
        <v>70.290000000000006</v>
      </c>
      <c r="S49">
        <f>R49/Q49</f>
        <v>68.911764705882362</v>
      </c>
      <c r="T49" t="s">
        <v>167</v>
      </c>
      <c r="U49">
        <v>19.637950178893899</v>
      </c>
      <c r="V49">
        <v>0</v>
      </c>
      <c r="W49">
        <v>7</v>
      </c>
      <c r="X49">
        <v>1.2439343715453199</v>
      </c>
      <c r="Y49" t="s">
        <v>167</v>
      </c>
      <c r="Z49">
        <v>19.637950178893899</v>
      </c>
      <c r="AA49">
        <v>1.5444318576924401</v>
      </c>
      <c r="AB49">
        <v>19.604302426002999</v>
      </c>
      <c r="AC49">
        <v>0</v>
      </c>
      <c r="AD49">
        <v>0.677441424870176</v>
      </c>
      <c r="AE49">
        <v>56.893863771464503</v>
      </c>
      <c r="AF49">
        <v>0</v>
      </c>
    </row>
    <row r="50" spans="1:32" x14ac:dyDescent="0.25">
      <c r="A50" t="str">
        <f>_xlfn.TEXTJOIN("_",TRUE,C50,D50,B50,G50)</f>
        <v>PPAC_CM_2020_1</v>
      </c>
      <c r="B50">
        <v>2020</v>
      </c>
      <c r="C50" t="s">
        <v>11</v>
      </c>
      <c r="D50" t="s">
        <v>9</v>
      </c>
      <c r="E50" t="str">
        <f>_xlfn.TEXTJOIN("_",TRUE,C50:D50)</f>
        <v>PPAC_CM</v>
      </c>
      <c r="F50" t="s">
        <v>90</v>
      </c>
      <c r="G50">
        <v>1</v>
      </c>
      <c r="H50" t="s">
        <v>24</v>
      </c>
      <c r="I50">
        <v>173</v>
      </c>
      <c r="J50" s="3">
        <v>79.267605633802816</v>
      </c>
      <c r="K50" s="3">
        <v>10.845070422535212</v>
      </c>
      <c r="L50" s="3">
        <v>88.205356574845723</v>
      </c>
      <c r="M50" s="3">
        <v>6.848400025446912</v>
      </c>
      <c r="N50">
        <v>27.053999999999998</v>
      </c>
      <c r="O50">
        <v>0</v>
      </c>
      <c r="P50">
        <v>0</v>
      </c>
      <c r="Q50">
        <v>1.01</v>
      </c>
      <c r="R50">
        <v>43.77</v>
      </c>
      <c r="S50">
        <f>R50/Q50</f>
        <v>43.336633663366342</v>
      </c>
      <c r="T50" t="s">
        <v>168</v>
      </c>
      <c r="U50">
        <v>46.040539659779697</v>
      </c>
      <c r="V50">
        <v>17.470507723391801</v>
      </c>
      <c r="W50">
        <v>8</v>
      </c>
      <c r="X50">
        <v>1.4868382185062301</v>
      </c>
      <c r="Y50" t="s">
        <v>168</v>
      </c>
      <c r="Z50">
        <v>46.583132373069198</v>
      </c>
      <c r="AA50">
        <v>17.470507723391801</v>
      </c>
      <c r="AB50">
        <v>5.5285798083816697</v>
      </c>
      <c r="AC50">
        <v>1.7956071172521699</v>
      </c>
      <c r="AD50">
        <v>28.105650785374401</v>
      </c>
      <c r="AE50">
        <v>0</v>
      </c>
      <c r="AF50">
        <v>0</v>
      </c>
    </row>
    <row r="51" spans="1:32" x14ac:dyDescent="0.25">
      <c r="A51" t="str">
        <f>_xlfn.TEXTJOIN("_",TRUE,C51,D51,B51,G51)</f>
        <v>PPAC_CM_2020_2</v>
      </c>
      <c r="B51">
        <v>2020</v>
      </c>
      <c r="C51" t="s">
        <v>11</v>
      </c>
      <c r="D51" t="s">
        <v>9</v>
      </c>
      <c r="E51" t="str">
        <f>_xlfn.TEXTJOIN("_",TRUE,C51:D51)</f>
        <v>PPAC_CM</v>
      </c>
      <c r="F51" t="s">
        <v>91</v>
      </c>
      <c r="G51">
        <v>2</v>
      </c>
      <c r="H51" t="s">
        <v>19</v>
      </c>
      <c r="I51">
        <v>187</v>
      </c>
      <c r="J51" s="3">
        <v>79.267605633802816</v>
      </c>
      <c r="K51" s="3">
        <v>10.845070422535212</v>
      </c>
      <c r="L51" s="3">
        <v>88.205356574845723</v>
      </c>
      <c r="M51" s="3">
        <v>6.848400025446912</v>
      </c>
      <c r="N51">
        <v>6.2111999999999998</v>
      </c>
      <c r="O51">
        <v>0</v>
      </c>
      <c r="P51">
        <v>1.4257</v>
      </c>
      <c r="Q51">
        <v>1.01</v>
      </c>
      <c r="R51">
        <v>34.479999999999997</v>
      </c>
      <c r="S51">
        <f>R51/Q51</f>
        <v>34.138613861386133</v>
      </c>
      <c r="T51" t="s">
        <v>169</v>
      </c>
      <c r="U51">
        <v>31.531600799630901</v>
      </c>
      <c r="V51">
        <v>0</v>
      </c>
      <c r="W51">
        <v>8</v>
      </c>
      <c r="X51">
        <v>1.64245660476219</v>
      </c>
      <c r="Y51" t="s">
        <v>169</v>
      </c>
      <c r="Z51">
        <v>31.531600799630901</v>
      </c>
      <c r="AA51">
        <v>7.18514531754575</v>
      </c>
      <c r="AB51">
        <v>0</v>
      </c>
      <c r="AC51">
        <v>23.0163001691527</v>
      </c>
      <c r="AD51">
        <v>37.234737813316897</v>
      </c>
      <c r="AE51">
        <v>0</v>
      </c>
      <c r="AF51">
        <v>0</v>
      </c>
    </row>
    <row r="52" spans="1:32" x14ac:dyDescent="0.25">
      <c r="A52" t="str">
        <f>_xlfn.TEXTJOIN("_",TRUE,C52,D52,B52,G52)</f>
        <v>PPAC_CM_2020_3</v>
      </c>
      <c r="B52">
        <v>2020</v>
      </c>
      <c r="C52" t="s">
        <v>11</v>
      </c>
      <c r="D52" t="s">
        <v>9</v>
      </c>
      <c r="E52" t="str">
        <f>_xlfn.TEXTJOIN("_",TRUE,C52:D52)</f>
        <v>PPAC_CM</v>
      </c>
      <c r="F52" t="s">
        <v>92</v>
      </c>
      <c r="G52">
        <v>3</v>
      </c>
      <c r="H52" t="s">
        <v>20</v>
      </c>
      <c r="I52">
        <v>201</v>
      </c>
      <c r="J52" s="3">
        <v>79.267605633802816</v>
      </c>
      <c r="K52" s="3">
        <v>10.845070422535212</v>
      </c>
      <c r="L52" s="3">
        <v>88.205356574845723</v>
      </c>
      <c r="M52" s="3">
        <v>6.848400025446912</v>
      </c>
      <c r="N52">
        <v>3.4581</v>
      </c>
      <c r="O52">
        <v>8.1516000000000002</v>
      </c>
      <c r="P52">
        <v>0</v>
      </c>
      <c r="Q52">
        <v>1.04</v>
      </c>
      <c r="R52">
        <v>81.27</v>
      </c>
      <c r="S52">
        <f>R52/Q52</f>
        <v>78.144230769230759</v>
      </c>
      <c r="T52" t="s">
        <v>170</v>
      </c>
      <c r="U52">
        <v>7.3978035387431396</v>
      </c>
      <c r="V52">
        <v>17.233068944478301</v>
      </c>
      <c r="W52">
        <v>8</v>
      </c>
      <c r="X52">
        <v>1.6610074327967299</v>
      </c>
      <c r="Y52" t="s">
        <v>170</v>
      </c>
      <c r="Z52">
        <v>20.327943868212301</v>
      </c>
      <c r="AA52">
        <v>17.233068944478301</v>
      </c>
      <c r="AB52">
        <v>4.5500305064063502</v>
      </c>
      <c r="AC52">
        <v>0</v>
      </c>
      <c r="AD52">
        <v>55.822147651006702</v>
      </c>
      <c r="AE52">
        <v>0</v>
      </c>
      <c r="AF52">
        <v>0</v>
      </c>
    </row>
    <row r="53" spans="1:32" x14ac:dyDescent="0.25">
      <c r="A53" t="str">
        <f>_xlfn.TEXTJOIN("_",TRUE,C53,D53,B53,G53)</f>
        <v>PPAC_CM_2020_4</v>
      </c>
      <c r="B53">
        <v>2020</v>
      </c>
      <c r="C53" t="s">
        <v>11</v>
      </c>
      <c r="D53" t="s">
        <v>9</v>
      </c>
      <c r="E53" t="str">
        <f>_xlfn.TEXTJOIN("_",TRUE,C53:D53)</f>
        <v>PPAC_CM</v>
      </c>
      <c r="F53" t="s">
        <v>93</v>
      </c>
      <c r="G53">
        <v>4</v>
      </c>
      <c r="H53" t="s">
        <v>21</v>
      </c>
      <c r="I53">
        <v>215</v>
      </c>
      <c r="J53" s="3">
        <v>79.267605633802816</v>
      </c>
      <c r="K53" s="3">
        <v>10.845070422535212</v>
      </c>
      <c r="L53" s="3">
        <v>88.205356574845723</v>
      </c>
      <c r="M53" s="3">
        <v>6.848400025446912</v>
      </c>
      <c r="N53">
        <v>0</v>
      </c>
      <c r="O53">
        <v>32.936300000000003</v>
      </c>
      <c r="P53">
        <v>0.82150000000000001</v>
      </c>
      <c r="Q53">
        <v>1.02</v>
      </c>
      <c r="R53">
        <v>63.54</v>
      </c>
      <c r="S53">
        <f>R53/Q53</f>
        <v>62.294117647058819</v>
      </c>
      <c r="T53" t="s">
        <v>171</v>
      </c>
      <c r="U53">
        <v>19.740312436599702</v>
      </c>
      <c r="V53">
        <v>16.705793699098599</v>
      </c>
      <c r="W53">
        <v>7</v>
      </c>
      <c r="X53">
        <v>1.5885263142756101</v>
      </c>
      <c r="Y53" t="s">
        <v>171</v>
      </c>
      <c r="Z53">
        <v>40.470393878793097</v>
      </c>
      <c r="AA53">
        <v>16.705793699098599</v>
      </c>
      <c r="AB53">
        <v>0</v>
      </c>
      <c r="AC53">
        <v>0.807176187577892</v>
      </c>
      <c r="AD53">
        <v>40.883401443352803</v>
      </c>
      <c r="AE53">
        <v>0</v>
      </c>
      <c r="AF53">
        <v>0</v>
      </c>
    </row>
    <row r="54" spans="1:32" x14ac:dyDescent="0.25">
      <c r="A54" t="str">
        <f>_xlfn.TEXTJOIN("_",TRUE,C54,D54,B54,G54)</f>
        <v>PPAC_CM_2020_5</v>
      </c>
      <c r="B54">
        <v>2020</v>
      </c>
      <c r="C54" t="s">
        <v>11</v>
      </c>
      <c r="D54" t="s">
        <v>9</v>
      </c>
      <c r="E54" t="str">
        <f>_xlfn.TEXTJOIN("_",TRUE,C54:D54)</f>
        <v>PPAC_CM</v>
      </c>
      <c r="F54" t="s">
        <v>94</v>
      </c>
      <c r="G54">
        <v>5</v>
      </c>
      <c r="H54" t="s">
        <v>22</v>
      </c>
      <c r="I54">
        <v>232</v>
      </c>
      <c r="J54" s="3">
        <v>79.267605633802816</v>
      </c>
      <c r="K54" s="3">
        <v>10.845070422535212</v>
      </c>
      <c r="L54" s="3">
        <v>88.205356574845723</v>
      </c>
      <c r="M54" s="3">
        <v>6.848400025446912</v>
      </c>
      <c r="N54">
        <v>2.0352000000000001</v>
      </c>
      <c r="O54">
        <v>3.9133</v>
      </c>
      <c r="P54">
        <v>0</v>
      </c>
      <c r="Q54">
        <v>1.03</v>
      </c>
      <c r="R54">
        <v>48.19</v>
      </c>
      <c r="S54">
        <f>R54/Q54</f>
        <v>46.786407766990287</v>
      </c>
      <c r="T54" t="s">
        <v>172</v>
      </c>
      <c r="U54">
        <v>0</v>
      </c>
      <c r="V54">
        <v>28.9389987379049</v>
      </c>
      <c r="W54">
        <v>8</v>
      </c>
      <c r="X54">
        <v>1.4604781620592799</v>
      </c>
      <c r="Y54" t="s">
        <v>172</v>
      </c>
      <c r="Z54">
        <v>0</v>
      </c>
      <c r="AA54">
        <v>28.9389987379049</v>
      </c>
      <c r="AB54">
        <v>24.329827513672701</v>
      </c>
      <c r="AC54">
        <v>1.3832562053008</v>
      </c>
      <c r="AD54">
        <v>43.949516196886798</v>
      </c>
      <c r="AE54">
        <v>0</v>
      </c>
      <c r="AF54">
        <v>0</v>
      </c>
    </row>
    <row r="55" spans="1:32" x14ac:dyDescent="0.25">
      <c r="A55" t="str">
        <f>_xlfn.TEXTJOIN("_",TRUE,C55,D55,B55,G55)</f>
        <v>PPAC_CM_2020_6</v>
      </c>
      <c r="B55">
        <v>2020</v>
      </c>
      <c r="C55" t="s">
        <v>11</v>
      </c>
      <c r="D55" t="s">
        <v>9</v>
      </c>
      <c r="E55" t="str">
        <f>_xlfn.TEXTJOIN("_",TRUE,C55:D55)</f>
        <v>PPAC_CM</v>
      </c>
      <c r="F55" t="s">
        <v>95</v>
      </c>
      <c r="G55">
        <v>6</v>
      </c>
      <c r="H55" t="s">
        <v>23</v>
      </c>
      <c r="I55">
        <v>244</v>
      </c>
      <c r="J55" s="3">
        <v>79.267605633802816</v>
      </c>
      <c r="K55" s="3">
        <v>10.845070422535212</v>
      </c>
      <c r="L55" s="3">
        <v>88.205356574845723</v>
      </c>
      <c r="M55" s="3">
        <v>6.848400025446912</v>
      </c>
      <c r="N55">
        <v>2.0211999999999999</v>
      </c>
      <c r="O55">
        <v>1.6857</v>
      </c>
      <c r="P55">
        <v>0</v>
      </c>
      <c r="Q55">
        <v>1.02</v>
      </c>
      <c r="R55">
        <v>54.21</v>
      </c>
      <c r="S55">
        <f>R55/Q55</f>
        <v>53.147058823529413</v>
      </c>
      <c r="T55" t="s">
        <v>173</v>
      </c>
      <c r="U55">
        <v>0</v>
      </c>
      <c r="V55">
        <v>23.524440688520201</v>
      </c>
      <c r="W55">
        <v>16</v>
      </c>
      <c r="X55">
        <v>2.2052834429189598</v>
      </c>
      <c r="Y55" t="s">
        <v>173</v>
      </c>
      <c r="Z55">
        <v>0</v>
      </c>
      <c r="AA55">
        <v>23.524440688520201</v>
      </c>
      <c r="AB55">
        <v>30.5853311390829</v>
      </c>
      <c r="AC55">
        <v>0.88511319663745902</v>
      </c>
      <c r="AD55">
        <v>32.090913134368201</v>
      </c>
      <c r="AE55">
        <v>12.0268647422497</v>
      </c>
      <c r="AF55">
        <v>0</v>
      </c>
    </row>
    <row r="56" spans="1:32" x14ac:dyDescent="0.25">
      <c r="A56" t="str">
        <f>_xlfn.TEXTJOIN("_",TRUE,C56,D56,B56,G56)</f>
        <v>PPAC_IPM_2018_1</v>
      </c>
      <c r="B56">
        <v>2018</v>
      </c>
      <c r="C56" t="s">
        <v>11</v>
      </c>
      <c r="D56" t="s">
        <v>10</v>
      </c>
      <c r="E56" t="str">
        <f>_xlfn.TEXTJOIN("_",TRUE,C56:D56)</f>
        <v>PPAC_IPM</v>
      </c>
      <c r="F56" t="s">
        <v>36</v>
      </c>
      <c r="G56">
        <v>1</v>
      </c>
      <c r="H56" t="s">
        <v>24</v>
      </c>
      <c r="I56">
        <v>177</v>
      </c>
      <c r="J56" s="3">
        <v>93.630214205186007</v>
      </c>
      <c r="K56" s="3">
        <v>1.8320180383314544</v>
      </c>
      <c r="L56" s="3">
        <v>81.107295045474785</v>
      </c>
      <c r="M56" s="3">
        <v>10.9075876105069</v>
      </c>
      <c r="N56">
        <v>0</v>
      </c>
      <c r="O56">
        <v>0</v>
      </c>
      <c r="P56">
        <v>0</v>
      </c>
      <c r="Q56">
        <v>1.02</v>
      </c>
      <c r="R56">
        <v>47.82</v>
      </c>
      <c r="S56">
        <f>R56/Q56</f>
        <v>46.882352941176471</v>
      </c>
      <c r="T56" t="s">
        <v>174</v>
      </c>
      <c r="U56">
        <v>7.6952360234935799</v>
      </c>
      <c r="V56">
        <v>0</v>
      </c>
      <c r="W56">
        <v>9</v>
      </c>
      <c r="X56">
        <v>1.43047141728858</v>
      </c>
      <c r="Y56" t="s">
        <v>174</v>
      </c>
      <c r="Z56">
        <v>72.046987165542703</v>
      </c>
      <c r="AA56">
        <v>0</v>
      </c>
      <c r="AB56">
        <v>15.4720469871655</v>
      </c>
      <c r="AC56">
        <v>6.1860996301936</v>
      </c>
      <c r="AD56">
        <v>3.0971285621057199</v>
      </c>
      <c r="AE56">
        <v>0.61996954535566695</v>
      </c>
      <c r="AF56">
        <v>0</v>
      </c>
    </row>
    <row r="57" spans="1:32" x14ac:dyDescent="0.25">
      <c r="A57" t="str">
        <f>_xlfn.TEXTJOIN("_",TRUE,C57,D57,B57,G57)</f>
        <v>PPAC_IPM_2018_2</v>
      </c>
      <c r="B57">
        <v>2018</v>
      </c>
      <c r="C57" t="s">
        <v>11</v>
      </c>
      <c r="D57" t="s">
        <v>10</v>
      </c>
      <c r="E57" t="str">
        <f>_xlfn.TEXTJOIN("_",TRUE,C57:D57)</f>
        <v>PPAC_IPM</v>
      </c>
      <c r="F57" t="s">
        <v>37</v>
      </c>
      <c r="G57">
        <v>2</v>
      </c>
      <c r="H57" t="s">
        <v>19</v>
      </c>
      <c r="I57">
        <v>191</v>
      </c>
      <c r="J57" s="3">
        <v>93.630214205186007</v>
      </c>
      <c r="K57" s="3">
        <v>1.8320180383314544</v>
      </c>
      <c r="L57" s="3">
        <v>81.107295045474785</v>
      </c>
      <c r="M57" s="3">
        <v>10.9075876105069</v>
      </c>
      <c r="N57">
        <v>0</v>
      </c>
      <c r="O57">
        <v>0</v>
      </c>
      <c r="P57">
        <v>0</v>
      </c>
      <c r="Q57">
        <v>0.98</v>
      </c>
      <c r="R57">
        <v>130.24</v>
      </c>
      <c r="S57">
        <f>R57/Q57</f>
        <v>132.89795918367349</v>
      </c>
      <c r="T57" t="s">
        <v>175</v>
      </c>
      <c r="U57">
        <v>5.6444931448272202</v>
      </c>
      <c r="V57">
        <v>0</v>
      </c>
      <c r="W57">
        <v>10</v>
      </c>
      <c r="X57">
        <v>1.6227933033869999</v>
      </c>
      <c r="Y57" t="s">
        <v>175</v>
      </c>
      <c r="Z57">
        <v>66.2933960499238</v>
      </c>
      <c r="AA57">
        <v>0</v>
      </c>
      <c r="AB57">
        <v>19.475104898842801</v>
      </c>
      <c r="AC57">
        <v>6.3260015500975504</v>
      </c>
      <c r="AD57">
        <v>5.3959430205521599</v>
      </c>
      <c r="AE57">
        <v>0</v>
      </c>
      <c r="AF57">
        <v>0</v>
      </c>
    </row>
    <row r="58" spans="1:32" x14ac:dyDescent="0.25">
      <c r="A58" t="str">
        <f>_xlfn.TEXTJOIN("_",TRUE,C58,D58,B58,G58)</f>
        <v>PPAC_IPM_2018_3</v>
      </c>
      <c r="B58">
        <v>2018</v>
      </c>
      <c r="C58" t="s">
        <v>11</v>
      </c>
      <c r="D58" t="s">
        <v>10</v>
      </c>
      <c r="E58" t="str">
        <f>_xlfn.TEXTJOIN("_",TRUE,C58:D58)</f>
        <v>PPAC_IPM</v>
      </c>
      <c r="F58" t="s">
        <v>38</v>
      </c>
      <c r="G58">
        <v>3</v>
      </c>
      <c r="H58" t="s">
        <v>20</v>
      </c>
      <c r="I58">
        <v>206</v>
      </c>
      <c r="J58" s="3">
        <v>93.630214205186007</v>
      </c>
      <c r="K58" s="3">
        <v>1.8320180383314544</v>
      </c>
      <c r="L58" s="3">
        <v>81.107295045474785</v>
      </c>
      <c r="M58" s="3">
        <v>10.9075876105069</v>
      </c>
      <c r="N58">
        <v>0</v>
      </c>
      <c r="O58">
        <v>0</v>
      </c>
      <c r="P58">
        <v>0</v>
      </c>
      <c r="Q58">
        <v>1.06</v>
      </c>
      <c r="R58">
        <v>108.32</v>
      </c>
      <c r="S58">
        <f>R58/Q58</f>
        <v>102.18867924528301</v>
      </c>
      <c r="T58" t="s">
        <v>176</v>
      </c>
      <c r="U58">
        <v>7.9663274959936698</v>
      </c>
      <c r="V58">
        <v>0</v>
      </c>
      <c r="W58">
        <v>8</v>
      </c>
      <c r="X58">
        <v>1.14954245532274</v>
      </c>
      <c r="Y58" t="s">
        <v>176</v>
      </c>
      <c r="Z58">
        <v>78.489371150541601</v>
      </c>
      <c r="AA58">
        <v>0</v>
      </c>
      <c r="AB58">
        <v>2.39607668990018</v>
      </c>
      <c r="AC58">
        <v>15.8264630355453</v>
      </c>
      <c r="AD58">
        <v>0</v>
      </c>
      <c r="AE58">
        <v>0.53289054505435096</v>
      </c>
      <c r="AF58">
        <v>0.73562064371633196</v>
      </c>
    </row>
    <row r="59" spans="1:32" x14ac:dyDescent="0.25">
      <c r="A59" t="str">
        <f>_xlfn.TEXTJOIN("_",TRUE,C59,D59,B59,G59)</f>
        <v>PPAC_IPM_2018_4</v>
      </c>
      <c r="B59">
        <v>2018</v>
      </c>
      <c r="C59" t="s">
        <v>11</v>
      </c>
      <c r="D59" t="s">
        <v>10</v>
      </c>
      <c r="E59" t="str">
        <f>_xlfn.TEXTJOIN("_",TRUE,C59:D59)</f>
        <v>PPAC_IPM</v>
      </c>
      <c r="F59" t="s">
        <v>39</v>
      </c>
      <c r="G59">
        <v>4</v>
      </c>
      <c r="H59" t="s">
        <v>21</v>
      </c>
      <c r="I59">
        <v>218</v>
      </c>
      <c r="J59" s="3">
        <v>93.630214205186007</v>
      </c>
      <c r="K59" s="3">
        <v>1.8320180383314544</v>
      </c>
      <c r="L59" s="3">
        <v>81.107295045474785</v>
      </c>
      <c r="M59" s="3">
        <v>10.9075876105069</v>
      </c>
      <c r="N59">
        <v>0</v>
      </c>
      <c r="O59">
        <v>0</v>
      </c>
      <c r="P59">
        <v>0</v>
      </c>
      <c r="Q59">
        <v>1.03</v>
      </c>
      <c r="R59">
        <v>42.15</v>
      </c>
      <c r="S59">
        <f>R59/Q59</f>
        <v>40.922330097087375</v>
      </c>
      <c r="T59" t="s">
        <v>177</v>
      </c>
      <c r="U59">
        <v>21.7178025160648</v>
      </c>
      <c r="V59">
        <v>15.700968413431101</v>
      </c>
      <c r="W59">
        <v>9</v>
      </c>
      <c r="X59">
        <v>1.8368937587579499</v>
      </c>
      <c r="Y59" t="s">
        <v>177</v>
      </c>
      <c r="Z59">
        <v>42.329622590279698</v>
      </c>
      <c r="AA59">
        <v>15.700968413431101</v>
      </c>
      <c r="AB59">
        <v>0</v>
      </c>
      <c r="AC59">
        <v>20.3312516969862</v>
      </c>
      <c r="AD59">
        <v>18.9211693365915</v>
      </c>
      <c r="AE59">
        <v>0</v>
      </c>
      <c r="AF59">
        <v>0</v>
      </c>
    </row>
    <row r="60" spans="1:32" x14ac:dyDescent="0.25">
      <c r="A60" t="str">
        <f>_xlfn.TEXTJOIN("_",TRUE,C60,D60,B60,G60)</f>
        <v>PPAC_IPM_2018_5</v>
      </c>
      <c r="B60">
        <v>2018</v>
      </c>
      <c r="C60" t="s">
        <v>11</v>
      </c>
      <c r="D60" t="s">
        <v>10</v>
      </c>
      <c r="E60" t="str">
        <f>_xlfn.TEXTJOIN("_",TRUE,C60:D60)</f>
        <v>PPAC_IPM</v>
      </c>
      <c r="F60" t="s">
        <v>40</v>
      </c>
      <c r="G60">
        <v>5</v>
      </c>
      <c r="H60" t="s">
        <v>22</v>
      </c>
      <c r="I60">
        <v>230</v>
      </c>
      <c r="J60" s="3">
        <v>93.630214205186007</v>
      </c>
      <c r="K60" s="3">
        <v>1.8320180383314544</v>
      </c>
      <c r="L60" s="3">
        <v>81.107295045474785</v>
      </c>
      <c r="M60" s="3">
        <v>10.9075876105069</v>
      </c>
      <c r="N60">
        <v>0</v>
      </c>
      <c r="O60">
        <v>2.4055</v>
      </c>
      <c r="P60">
        <v>0</v>
      </c>
      <c r="Q60">
        <v>1.03</v>
      </c>
      <c r="R60">
        <v>103.21</v>
      </c>
      <c r="S60">
        <f>R60/Q60</f>
        <v>100.20388349514562</v>
      </c>
      <c r="T60" t="s">
        <v>178</v>
      </c>
      <c r="U60">
        <v>62.589773291411603</v>
      </c>
      <c r="V60">
        <v>30.501406586132699</v>
      </c>
      <c r="W60">
        <v>4</v>
      </c>
      <c r="X60">
        <v>0.62515222310137197</v>
      </c>
      <c r="Y60" t="s">
        <v>178</v>
      </c>
      <c r="Z60">
        <v>65.174582161178193</v>
      </c>
      <c r="AA60">
        <v>30.501406586132699</v>
      </c>
      <c r="AB60">
        <v>0</v>
      </c>
      <c r="AC60">
        <v>0.98295548568591795</v>
      </c>
      <c r="AD60">
        <v>2.60632136356115</v>
      </c>
      <c r="AE60">
        <v>0</v>
      </c>
      <c r="AF60">
        <v>0</v>
      </c>
    </row>
    <row r="61" spans="1:32" x14ac:dyDescent="0.25">
      <c r="A61" t="str">
        <f>_xlfn.TEXTJOIN("_",TRUE,C61,D61,B61,G61)</f>
        <v>PPAC_IPM_2018_6</v>
      </c>
      <c r="B61">
        <v>2018</v>
      </c>
      <c r="C61" t="s">
        <v>11</v>
      </c>
      <c r="D61" t="s">
        <v>10</v>
      </c>
      <c r="E61" t="str">
        <f>_xlfn.TEXTJOIN("_",TRUE,C61:D61)</f>
        <v>PPAC_IPM</v>
      </c>
      <c r="F61" t="s">
        <v>41</v>
      </c>
      <c r="G61">
        <v>6</v>
      </c>
      <c r="H61" t="s">
        <v>23</v>
      </c>
      <c r="I61">
        <v>248</v>
      </c>
      <c r="J61" s="3">
        <v>93.630214205186007</v>
      </c>
      <c r="K61" s="3">
        <v>1.8320180383314544</v>
      </c>
      <c r="L61" s="3">
        <v>81.107295045474785</v>
      </c>
      <c r="M61" s="3">
        <v>10.9075876105069</v>
      </c>
      <c r="N61">
        <v>0</v>
      </c>
      <c r="O61">
        <v>0</v>
      </c>
      <c r="P61">
        <v>0</v>
      </c>
      <c r="Q61">
        <v>1.04</v>
      </c>
      <c r="R61">
        <v>51.89</v>
      </c>
      <c r="S61">
        <f>R61/Q61</f>
        <v>49.894230769230766</v>
      </c>
      <c r="T61" t="s">
        <v>179</v>
      </c>
      <c r="U61">
        <v>50.208674683896497</v>
      </c>
      <c r="V61">
        <v>0</v>
      </c>
      <c r="W61">
        <v>5</v>
      </c>
      <c r="X61">
        <v>0.67312504734927903</v>
      </c>
      <c r="Y61" t="s">
        <v>179</v>
      </c>
      <c r="Z61">
        <v>58.9297307323708</v>
      </c>
      <c r="AA61">
        <v>0</v>
      </c>
      <c r="AB61">
        <v>0</v>
      </c>
      <c r="AC61">
        <v>0</v>
      </c>
      <c r="AD61">
        <v>40.031533063344398</v>
      </c>
      <c r="AE61">
        <v>0</v>
      </c>
      <c r="AF61">
        <v>0</v>
      </c>
    </row>
    <row r="62" spans="1:32" x14ac:dyDescent="0.25">
      <c r="A62" t="str">
        <f>_xlfn.TEXTJOIN("_",TRUE,C62,D62,B62,G62)</f>
        <v>PPAC_IPM_2019_1</v>
      </c>
      <c r="B62">
        <v>2019</v>
      </c>
      <c r="C62" t="s">
        <v>11</v>
      </c>
      <c r="D62" t="s">
        <v>10</v>
      </c>
      <c r="E62" t="str">
        <f>_xlfn.TEXTJOIN("_",TRUE,C62:D62)</f>
        <v>PPAC_IPM</v>
      </c>
      <c r="F62" t="s">
        <v>64</v>
      </c>
      <c r="G62">
        <v>1</v>
      </c>
      <c r="H62" t="s">
        <v>24</v>
      </c>
      <c r="I62">
        <v>177</v>
      </c>
      <c r="J62" s="3">
        <v>93.630214205186007</v>
      </c>
      <c r="K62" s="3">
        <v>1.8320180383314544</v>
      </c>
      <c r="L62" s="3">
        <v>81.107295045474785</v>
      </c>
      <c r="M62" s="3">
        <v>10.9075876105069</v>
      </c>
      <c r="N62">
        <v>0</v>
      </c>
      <c r="O62">
        <v>0</v>
      </c>
      <c r="P62">
        <v>0</v>
      </c>
      <c r="Q62">
        <v>1.01</v>
      </c>
      <c r="R62">
        <v>53.53</v>
      </c>
      <c r="S62">
        <f>R62/Q62</f>
        <v>53</v>
      </c>
      <c r="T62" t="s">
        <v>180</v>
      </c>
      <c r="U62">
        <v>39.733374195525599</v>
      </c>
      <c r="V62">
        <v>0</v>
      </c>
      <c r="W62">
        <v>10</v>
      </c>
      <c r="X62">
        <v>1.68795536296661</v>
      </c>
      <c r="Y62" t="s">
        <v>180</v>
      </c>
      <c r="Z62">
        <v>54.757891510879602</v>
      </c>
      <c r="AA62">
        <v>0</v>
      </c>
      <c r="AB62">
        <v>0.75237511492491604</v>
      </c>
      <c r="AC62">
        <v>11.782102359791599</v>
      </c>
      <c r="AD62">
        <v>32.036469506589</v>
      </c>
      <c r="AE62">
        <v>0</v>
      </c>
      <c r="AF62">
        <v>0</v>
      </c>
    </row>
    <row r="63" spans="1:32" x14ac:dyDescent="0.25">
      <c r="A63" t="str">
        <f>_xlfn.TEXTJOIN("_",TRUE,C63,D63,B63,G63)</f>
        <v>PPAC_IPM_2019_2</v>
      </c>
      <c r="B63">
        <v>2019</v>
      </c>
      <c r="C63" t="s">
        <v>11</v>
      </c>
      <c r="D63" t="s">
        <v>10</v>
      </c>
      <c r="E63" t="str">
        <f>_xlfn.TEXTJOIN("_",TRUE,C63:D63)</f>
        <v>PPAC_IPM</v>
      </c>
      <c r="F63" t="s">
        <v>65</v>
      </c>
      <c r="G63">
        <v>2</v>
      </c>
      <c r="H63" t="s">
        <v>19</v>
      </c>
      <c r="I63">
        <v>190</v>
      </c>
      <c r="J63" s="3">
        <v>93.630214205186007</v>
      </c>
      <c r="K63" s="3">
        <v>1.8320180383314544</v>
      </c>
      <c r="L63" s="3">
        <v>81.107295045474785</v>
      </c>
      <c r="M63" s="3">
        <v>10.9075876105069</v>
      </c>
      <c r="N63">
        <v>0</v>
      </c>
      <c r="O63">
        <v>0</v>
      </c>
      <c r="P63">
        <v>0</v>
      </c>
      <c r="Q63">
        <v>1.05</v>
      </c>
      <c r="R63">
        <v>58.32</v>
      </c>
      <c r="S63">
        <f>R63/Q63</f>
        <v>55.542857142857137</v>
      </c>
      <c r="T63" t="s">
        <v>181</v>
      </c>
      <c r="U63">
        <v>28.7836371907478</v>
      </c>
      <c r="V63">
        <v>0</v>
      </c>
      <c r="W63">
        <v>9</v>
      </c>
      <c r="X63">
        <v>1.7011405284177801</v>
      </c>
      <c r="Y63" t="s">
        <v>181</v>
      </c>
      <c r="Z63">
        <v>56.522728068026701</v>
      </c>
      <c r="AA63">
        <v>0</v>
      </c>
      <c r="AB63">
        <v>0.97805927844070395</v>
      </c>
      <c r="AC63">
        <v>4.4528816880708302</v>
      </c>
      <c r="AD63">
        <v>35.558316128355003</v>
      </c>
      <c r="AE63">
        <v>0</v>
      </c>
      <c r="AF63">
        <v>0</v>
      </c>
    </row>
    <row r="64" spans="1:32" x14ac:dyDescent="0.25">
      <c r="A64" t="str">
        <f>_xlfn.TEXTJOIN("_",TRUE,C64,D64,B64,G64)</f>
        <v>PPAC_IPM_2019_3</v>
      </c>
      <c r="B64">
        <v>2019</v>
      </c>
      <c r="C64" t="s">
        <v>11</v>
      </c>
      <c r="D64" t="s">
        <v>10</v>
      </c>
      <c r="E64" t="str">
        <f>_xlfn.TEXTJOIN("_",TRUE,C64:D64)</f>
        <v>PPAC_IPM</v>
      </c>
      <c r="F64" t="s">
        <v>60</v>
      </c>
      <c r="G64">
        <v>3</v>
      </c>
      <c r="H64" t="s">
        <v>20</v>
      </c>
      <c r="I64">
        <v>203</v>
      </c>
      <c r="J64" s="3">
        <v>93.630214205186007</v>
      </c>
      <c r="K64" s="3">
        <v>1.8320180383314544</v>
      </c>
      <c r="L64" s="3">
        <v>81.107295045474785</v>
      </c>
      <c r="M64" s="3">
        <v>10.9075876105069</v>
      </c>
      <c r="N64">
        <v>0</v>
      </c>
      <c r="O64">
        <v>0</v>
      </c>
      <c r="P64">
        <v>0</v>
      </c>
      <c r="Q64">
        <v>1.03</v>
      </c>
      <c r="R64">
        <v>64.209999999999994</v>
      </c>
      <c r="S64">
        <f>R64/Q64</f>
        <v>62.339805825242713</v>
      </c>
      <c r="T64" t="s">
        <v>182</v>
      </c>
      <c r="U64">
        <v>40.871279719072</v>
      </c>
      <c r="V64">
        <v>16.177825110816901</v>
      </c>
      <c r="W64">
        <v>7</v>
      </c>
      <c r="X64">
        <v>1.3073697025715401</v>
      </c>
      <c r="Y64" t="s">
        <v>182</v>
      </c>
      <c r="Z64">
        <v>46.679811179552097</v>
      </c>
      <c r="AA64">
        <v>16.177825110816901</v>
      </c>
      <c r="AB64">
        <v>0.90236601231938296</v>
      </c>
      <c r="AC64">
        <v>0.99879108859593602</v>
      </c>
      <c r="AD64">
        <v>34.825283518507902</v>
      </c>
      <c r="AE64">
        <v>0</v>
      </c>
      <c r="AF64">
        <v>0</v>
      </c>
    </row>
    <row r="65" spans="1:32" x14ac:dyDescent="0.25">
      <c r="A65" t="str">
        <f>_xlfn.TEXTJOIN("_",TRUE,C65,D65,B65,G65)</f>
        <v>PPAC_IPM_2019_4</v>
      </c>
      <c r="B65">
        <v>2019</v>
      </c>
      <c r="C65" t="s">
        <v>11</v>
      </c>
      <c r="D65" t="s">
        <v>10</v>
      </c>
      <c r="E65" t="str">
        <f>_xlfn.TEXTJOIN("_",TRUE,C65:D65)</f>
        <v>PPAC_IPM</v>
      </c>
      <c r="F65" t="s">
        <v>66</v>
      </c>
      <c r="G65">
        <v>4</v>
      </c>
      <c r="H65" t="s">
        <v>21</v>
      </c>
      <c r="I65">
        <v>217</v>
      </c>
      <c r="J65" s="3">
        <v>93.630214205186007</v>
      </c>
      <c r="K65" s="3">
        <v>1.8320180383314544</v>
      </c>
      <c r="L65" s="3">
        <v>81.107295045474785</v>
      </c>
      <c r="M65" s="3">
        <v>10.9075876105069</v>
      </c>
      <c r="N65">
        <v>3.0594999999999999</v>
      </c>
      <c r="O65">
        <v>0</v>
      </c>
      <c r="P65">
        <v>0</v>
      </c>
      <c r="Q65">
        <v>1.03</v>
      </c>
      <c r="R65">
        <v>73.260000000000005</v>
      </c>
      <c r="S65">
        <f>R65/Q65</f>
        <v>71.126213592233015</v>
      </c>
      <c r="T65" t="s">
        <v>183</v>
      </c>
      <c r="U65">
        <v>35.889844948032</v>
      </c>
      <c r="V65">
        <v>16.540296472993699</v>
      </c>
      <c r="W65">
        <v>7</v>
      </c>
      <c r="X65">
        <v>1.49590464332954</v>
      </c>
      <c r="Y65" t="s">
        <v>183</v>
      </c>
      <c r="Z65">
        <v>43.523172601806102</v>
      </c>
      <c r="AA65">
        <v>16.540296472993699</v>
      </c>
      <c r="AB65">
        <v>3.9316749020275998</v>
      </c>
      <c r="AC65">
        <v>0.71988413699096998</v>
      </c>
      <c r="AD65">
        <v>34.671579485431899</v>
      </c>
      <c r="AE65">
        <v>0</v>
      </c>
      <c r="AF65">
        <v>0</v>
      </c>
    </row>
    <row r="66" spans="1:32" x14ac:dyDescent="0.25">
      <c r="A66" t="str">
        <f>_xlfn.TEXTJOIN("_",TRUE,C66,D66,B66,G66)</f>
        <v>PPAC_IPM_2019_5</v>
      </c>
      <c r="B66">
        <v>2019</v>
      </c>
      <c r="C66" t="s">
        <v>11</v>
      </c>
      <c r="D66" t="s">
        <v>10</v>
      </c>
      <c r="E66" t="str">
        <f>_xlfn.TEXTJOIN("_",TRUE,C66:D66)</f>
        <v>PPAC_IPM</v>
      </c>
      <c r="F66" t="s">
        <v>67</v>
      </c>
      <c r="G66">
        <v>5</v>
      </c>
      <c r="H66" t="s">
        <v>22</v>
      </c>
      <c r="I66">
        <v>231</v>
      </c>
      <c r="J66" s="3">
        <v>93.630214205186007</v>
      </c>
      <c r="K66" s="3">
        <v>1.8320180383314544</v>
      </c>
      <c r="L66" s="3">
        <v>81.107295045474785</v>
      </c>
      <c r="M66" s="3">
        <v>10.9075876105069</v>
      </c>
      <c r="N66">
        <v>0</v>
      </c>
      <c r="O66">
        <v>0</v>
      </c>
      <c r="P66">
        <v>0.28260000000000002</v>
      </c>
      <c r="Q66">
        <v>1.03</v>
      </c>
      <c r="R66">
        <v>87.28</v>
      </c>
      <c r="S66">
        <f>R66/Q66</f>
        <v>84.737864077669897</v>
      </c>
      <c r="T66" t="s">
        <v>184</v>
      </c>
      <c r="U66">
        <v>48.195815855977898</v>
      </c>
      <c r="V66">
        <v>0</v>
      </c>
      <c r="W66">
        <v>3</v>
      </c>
      <c r="X66">
        <v>0.27326094799446099</v>
      </c>
      <c r="Y66" t="s">
        <v>184</v>
      </c>
      <c r="Z66">
        <v>48.899252273141798</v>
      </c>
      <c r="AA66">
        <v>0</v>
      </c>
      <c r="AB66">
        <v>0</v>
      </c>
      <c r="AC66">
        <v>0</v>
      </c>
      <c r="AD66">
        <v>49.865826016726203</v>
      </c>
      <c r="AE66">
        <v>0</v>
      </c>
      <c r="AF66">
        <v>0</v>
      </c>
    </row>
    <row r="67" spans="1:32" x14ac:dyDescent="0.25">
      <c r="A67" t="str">
        <f>_xlfn.TEXTJOIN("_",TRUE,C67,D67,B67,G67)</f>
        <v>PPAC_IPM_2019_6</v>
      </c>
      <c r="B67">
        <v>2019</v>
      </c>
      <c r="C67" t="s">
        <v>11</v>
      </c>
      <c r="D67" t="s">
        <v>10</v>
      </c>
      <c r="E67" t="str">
        <f>_xlfn.TEXTJOIN("_",TRUE,C67:D67)</f>
        <v>PPAC_IPM</v>
      </c>
      <c r="F67" t="s">
        <v>68</v>
      </c>
      <c r="G67">
        <v>6</v>
      </c>
      <c r="H67" t="s">
        <v>23</v>
      </c>
      <c r="I67">
        <v>247</v>
      </c>
      <c r="J67" s="3">
        <v>93.630214205186007</v>
      </c>
      <c r="K67" s="3">
        <v>1.8320180383314544</v>
      </c>
      <c r="L67" s="3">
        <v>81.107295045474785</v>
      </c>
      <c r="M67" s="3">
        <v>10.9075876105069</v>
      </c>
      <c r="N67">
        <v>0</v>
      </c>
      <c r="O67">
        <v>11.440200000000001</v>
      </c>
      <c r="P67">
        <v>0</v>
      </c>
      <c r="Q67">
        <v>1</v>
      </c>
      <c r="R67">
        <v>39.43</v>
      </c>
      <c r="S67">
        <f>R67/Q67</f>
        <v>39.43</v>
      </c>
      <c r="T67" t="s">
        <v>185</v>
      </c>
      <c r="U67">
        <v>42.183643245022203</v>
      </c>
      <c r="V67">
        <v>6.9236465361197999</v>
      </c>
      <c r="W67">
        <v>11</v>
      </c>
      <c r="X67">
        <v>2.0212191440513601</v>
      </c>
      <c r="Y67" t="s">
        <v>185</v>
      </c>
      <c r="Z67">
        <v>49.099062037189398</v>
      </c>
      <c r="AA67">
        <v>6.9236465361197999</v>
      </c>
      <c r="AB67">
        <v>25.1234161592891</v>
      </c>
      <c r="AC67">
        <v>6.9647852558828403</v>
      </c>
      <c r="AD67">
        <v>9.3796281059733406</v>
      </c>
      <c r="AE67">
        <v>0</v>
      </c>
      <c r="AF67">
        <v>0</v>
      </c>
    </row>
    <row r="68" spans="1:32" x14ac:dyDescent="0.25">
      <c r="A68" t="str">
        <f>_xlfn.TEXTJOIN("_",TRUE,C68,D68,B68,G68)</f>
        <v>PPAC_IPM_2020_1</v>
      </c>
      <c r="B68">
        <v>2020</v>
      </c>
      <c r="C68" t="s">
        <v>11</v>
      </c>
      <c r="D68" t="s">
        <v>10</v>
      </c>
      <c r="E68" t="str">
        <f>_xlfn.TEXTJOIN("_",TRUE,C68:D68)</f>
        <v>PPAC_IPM</v>
      </c>
      <c r="F68" t="s">
        <v>90</v>
      </c>
      <c r="G68">
        <v>1</v>
      </c>
      <c r="H68" t="s">
        <v>24</v>
      </c>
      <c r="I68">
        <v>173</v>
      </c>
      <c r="J68" s="3">
        <v>93.630214205186007</v>
      </c>
      <c r="K68" s="3">
        <v>1.8320180383314544</v>
      </c>
      <c r="L68" s="3">
        <v>81.107295045474785</v>
      </c>
      <c r="M68" s="3">
        <v>10.9075876105069</v>
      </c>
      <c r="N68">
        <v>0</v>
      </c>
      <c r="O68">
        <v>0</v>
      </c>
      <c r="P68">
        <v>0</v>
      </c>
      <c r="Q68">
        <v>1.02</v>
      </c>
      <c r="R68">
        <v>92.1</v>
      </c>
      <c r="S68">
        <f>R68/Q68</f>
        <v>90.294117647058812</v>
      </c>
      <c r="T68" t="s">
        <v>186</v>
      </c>
      <c r="U68">
        <v>41.935607146269199</v>
      </c>
      <c r="V68">
        <v>0</v>
      </c>
      <c r="W68">
        <v>10</v>
      </c>
      <c r="X68">
        <v>1.8385780935538301</v>
      </c>
      <c r="Y68" t="s">
        <v>186</v>
      </c>
      <c r="Z68">
        <v>47.029712429540503</v>
      </c>
      <c r="AA68">
        <v>0</v>
      </c>
      <c r="AB68">
        <v>5.2221266838635696</v>
      </c>
      <c r="AC68">
        <v>18.884111970956301</v>
      </c>
      <c r="AD68">
        <v>22.033056272093201</v>
      </c>
      <c r="AE68">
        <v>0</v>
      </c>
      <c r="AF68">
        <v>5.0597114741568703</v>
      </c>
    </row>
    <row r="69" spans="1:32" x14ac:dyDescent="0.25">
      <c r="A69" t="str">
        <f>_xlfn.TEXTJOIN("_",TRUE,C69,D69,B69,G69)</f>
        <v>PPAC_IPM_2020_2</v>
      </c>
      <c r="B69">
        <v>2020</v>
      </c>
      <c r="C69" t="s">
        <v>11</v>
      </c>
      <c r="D69" t="s">
        <v>10</v>
      </c>
      <c r="E69" t="str">
        <f>_xlfn.TEXTJOIN("_",TRUE,C69:D69)</f>
        <v>PPAC_IPM</v>
      </c>
      <c r="F69" t="s">
        <v>91</v>
      </c>
      <c r="G69">
        <v>2</v>
      </c>
      <c r="H69" t="s">
        <v>19</v>
      </c>
      <c r="I69">
        <v>187</v>
      </c>
      <c r="J69" s="3">
        <v>93.630214205186007</v>
      </c>
      <c r="K69" s="3">
        <v>1.8320180383314544</v>
      </c>
      <c r="L69" s="3">
        <v>81.107295045474785</v>
      </c>
      <c r="M69" s="3">
        <v>10.9075876105069</v>
      </c>
      <c r="N69">
        <v>0</v>
      </c>
      <c r="O69">
        <v>0</v>
      </c>
      <c r="P69">
        <v>0</v>
      </c>
      <c r="Q69">
        <v>1.01</v>
      </c>
      <c r="R69">
        <v>72.63</v>
      </c>
      <c r="S69">
        <f>R69/Q69</f>
        <v>71.910891089108901</v>
      </c>
      <c r="T69" t="s">
        <v>187</v>
      </c>
      <c r="U69">
        <v>59.566257447192598</v>
      </c>
      <c r="V69">
        <v>0</v>
      </c>
      <c r="W69">
        <v>4</v>
      </c>
      <c r="X69">
        <v>0.86640615697012702</v>
      </c>
      <c r="Y69" t="s">
        <v>187</v>
      </c>
      <c r="Z69">
        <v>59.566257447192598</v>
      </c>
      <c r="AA69">
        <v>0</v>
      </c>
      <c r="AB69">
        <v>7.7450803394114498</v>
      </c>
      <c r="AC69">
        <v>27.602003971836101</v>
      </c>
      <c r="AD69">
        <v>4.47282903051092</v>
      </c>
      <c r="AE69">
        <v>0</v>
      </c>
      <c r="AF69">
        <v>0</v>
      </c>
    </row>
    <row r="70" spans="1:32" x14ac:dyDescent="0.25">
      <c r="A70" t="str">
        <f>_xlfn.TEXTJOIN("_",TRUE,C70,D70,B70,G70)</f>
        <v>PPAC_IPM_2020_3</v>
      </c>
      <c r="B70">
        <v>2020</v>
      </c>
      <c r="C70" t="s">
        <v>11</v>
      </c>
      <c r="D70" t="s">
        <v>10</v>
      </c>
      <c r="E70" t="str">
        <f>_xlfn.TEXTJOIN("_",TRUE,C70:D70)</f>
        <v>PPAC_IPM</v>
      </c>
      <c r="F70" t="s">
        <v>92</v>
      </c>
      <c r="G70">
        <v>3</v>
      </c>
      <c r="H70" t="s">
        <v>20</v>
      </c>
      <c r="I70">
        <v>201</v>
      </c>
      <c r="J70" s="3">
        <v>93.630214205186007</v>
      </c>
      <c r="K70" s="3">
        <v>1.8320180383314544</v>
      </c>
      <c r="L70" s="3">
        <v>81.107295045474785</v>
      </c>
      <c r="M70" s="3">
        <v>10.9075876105069</v>
      </c>
      <c r="N70">
        <v>0</v>
      </c>
      <c r="O70">
        <v>0</v>
      </c>
      <c r="P70">
        <v>0</v>
      </c>
      <c r="Q70">
        <v>1.03</v>
      </c>
      <c r="R70">
        <v>81.28</v>
      </c>
      <c r="S70">
        <f>R70/Q70</f>
        <v>78.912621359223294</v>
      </c>
      <c r="T70" t="s">
        <v>188</v>
      </c>
      <c r="U70">
        <v>40.818060444228699</v>
      </c>
      <c r="V70">
        <v>5.8219039527450702</v>
      </c>
      <c r="W70">
        <v>5</v>
      </c>
      <c r="X70">
        <v>1.10862654186822</v>
      </c>
      <c r="Y70" t="s">
        <v>188</v>
      </c>
      <c r="Z70">
        <v>40.818060444228699</v>
      </c>
      <c r="AA70">
        <v>5.8219039527450702</v>
      </c>
      <c r="AB70">
        <v>4.99656107132743</v>
      </c>
      <c r="AC70">
        <v>10.2257555528584</v>
      </c>
      <c r="AD70">
        <v>36.195735728446003</v>
      </c>
      <c r="AE70">
        <v>0</v>
      </c>
      <c r="AF70">
        <v>0</v>
      </c>
    </row>
    <row r="71" spans="1:32" x14ac:dyDescent="0.25">
      <c r="A71" t="str">
        <f>_xlfn.TEXTJOIN("_",TRUE,C71,D71,B71,G71)</f>
        <v>PPAC_IPM_2020_4</v>
      </c>
      <c r="B71">
        <v>2020</v>
      </c>
      <c r="C71" t="s">
        <v>11</v>
      </c>
      <c r="D71" t="s">
        <v>10</v>
      </c>
      <c r="E71" t="str">
        <f>_xlfn.TEXTJOIN("_",TRUE,C71:D71)</f>
        <v>PPAC_IPM</v>
      </c>
      <c r="F71" t="s">
        <v>93</v>
      </c>
      <c r="G71">
        <v>4</v>
      </c>
      <c r="H71" t="s">
        <v>21</v>
      </c>
      <c r="I71">
        <v>215</v>
      </c>
      <c r="J71" s="3">
        <v>93.630214205186007</v>
      </c>
      <c r="K71" s="3">
        <v>1.8320180383314544</v>
      </c>
      <c r="L71" s="3">
        <v>81.107295045474785</v>
      </c>
      <c r="M71" s="3">
        <v>10.9075876105069</v>
      </c>
      <c r="N71">
        <v>0</v>
      </c>
      <c r="O71">
        <v>0</v>
      </c>
      <c r="P71">
        <v>0</v>
      </c>
      <c r="Q71">
        <v>1.04</v>
      </c>
      <c r="R71">
        <v>163.93</v>
      </c>
      <c r="S71">
        <f>R71/Q71</f>
        <v>157.625</v>
      </c>
      <c r="T71" t="s">
        <v>189</v>
      </c>
      <c r="U71">
        <v>36.055344206310302</v>
      </c>
      <c r="V71">
        <v>21.867741408967099</v>
      </c>
      <c r="W71">
        <v>8</v>
      </c>
      <c r="X71">
        <v>1.57480423171157</v>
      </c>
      <c r="Y71" t="s">
        <v>189</v>
      </c>
      <c r="Z71">
        <v>36.808668248647201</v>
      </c>
      <c r="AA71">
        <v>21.867741408967099</v>
      </c>
      <c r="AB71">
        <v>0</v>
      </c>
      <c r="AC71">
        <v>0.89017791002799895</v>
      </c>
      <c r="AD71">
        <v>39.441535776614302</v>
      </c>
      <c r="AE71">
        <v>0</v>
      </c>
      <c r="AF71">
        <v>0</v>
      </c>
    </row>
    <row r="72" spans="1:32" x14ac:dyDescent="0.25">
      <c r="A72" t="str">
        <f>_xlfn.TEXTJOIN("_",TRUE,C72,D72,B72,G72)</f>
        <v>PPAC_IPM_2020_5</v>
      </c>
      <c r="B72">
        <v>2020</v>
      </c>
      <c r="C72" t="s">
        <v>11</v>
      </c>
      <c r="D72" t="s">
        <v>10</v>
      </c>
      <c r="E72" t="str">
        <f>_xlfn.TEXTJOIN("_",TRUE,C72:D72)</f>
        <v>PPAC_IPM</v>
      </c>
      <c r="F72" t="s">
        <v>94</v>
      </c>
      <c r="G72">
        <v>5</v>
      </c>
      <c r="H72" t="s">
        <v>22</v>
      </c>
      <c r="I72">
        <v>232</v>
      </c>
      <c r="J72" s="3">
        <v>93.630214205186007</v>
      </c>
      <c r="K72" s="3">
        <v>1.8320180383314544</v>
      </c>
      <c r="L72" s="3">
        <v>81.107295045474785</v>
      </c>
      <c r="M72" s="3">
        <v>10.9075876105069</v>
      </c>
      <c r="N72">
        <v>0</v>
      </c>
      <c r="O72">
        <v>0</v>
      </c>
      <c r="P72">
        <v>0</v>
      </c>
      <c r="Q72">
        <v>1.04</v>
      </c>
      <c r="R72">
        <v>67.34</v>
      </c>
      <c r="S72">
        <f>R72/Q72</f>
        <v>64.75</v>
      </c>
      <c r="T72" t="s">
        <v>190</v>
      </c>
      <c r="U72">
        <v>0</v>
      </c>
      <c r="V72">
        <v>26.308829249319299</v>
      </c>
      <c r="W72">
        <v>9</v>
      </c>
      <c r="X72">
        <v>1.5705478420866901</v>
      </c>
      <c r="Y72" t="s">
        <v>190</v>
      </c>
      <c r="Z72">
        <v>0</v>
      </c>
      <c r="AA72">
        <v>26.308829249319299</v>
      </c>
      <c r="AB72">
        <v>23.6976533125891</v>
      </c>
      <c r="AC72">
        <v>0.91793076623881797</v>
      </c>
      <c r="AD72">
        <v>47.670167250097201</v>
      </c>
      <c r="AE72">
        <v>0</v>
      </c>
      <c r="AF72">
        <v>0</v>
      </c>
    </row>
    <row r="73" spans="1:32" x14ac:dyDescent="0.25">
      <c r="A73" t="str">
        <f>_xlfn.TEXTJOIN("_",TRUE,C73,D73,B73,G73)</f>
        <v>PPAC_IPM_2020_6</v>
      </c>
      <c r="B73">
        <v>2020</v>
      </c>
      <c r="C73" t="s">
        <v>11</v>
      </c>
      <c r="D73" t="s">
        <v>10</v>
      </c>
      <c r="E73" t="str">
        <f>_xlfn.TEXTJOIN("_",TRUE,C73:D73)</f>
        <v>PPAC_IPM</v>
      </c>
      <c r="F73" t="s">
        <v>95</v>
      </c>
      <c r="G73">
        <v>6</v>
      </c>
      <c r="H73" t="s">
        <v>23</v>
      </c>
      <c r="I73">
        <v>244</v>
      </c>
      <c r="J73" s="3">
        <v>93.630214205186007</v>
      </c>
      <c r="K73" s="3">
        <v>1.8320180383314544</v>
      </c>
      <c r="L73" s="3">
        <v>81.107295045474785</v>
      </c>
      <c r="M73" s="3">
        <v>10.9075876105069</v>
      </c>
      <c r="N73">
        <v>0</v>
      </c>
      <c r="O73">
        <v>0</v>
      </c>
      <c r="P73">
        <v>0</v>
      </c>
      <c r="Q73">
        <v>1.04</v>
      </c>
      <c r="R73">
        <v>73.27</v>
      </c>
      <c r="S73">
        <f>R73/Q73</f>
        <v>70.451923076923066</v>
      </c>
      <c r="T73" t="s">
        <v>191</v>
      </c>
      <c r="U73">
        <v>0.88926493188057998</v>
      </c>
      <c r="V73">
        <v>0</v>
      </c>
      <c r="W73">
        <v>8</v>
      </c>
      <c r="X73">
        <v>1.4798231630779699</v>
      </c>
      <c r="Y73" t="s">
        <v>191</v>
      </c>
      <c r="Z73">
        <v>39.961666637887902</v>
      </c>
      <c r="AA73">
        <v>0</v>
      </c>
      <c r="AB73">
        <v>6.4441489820938296</v>
      </c>
      <c r="AC73">
        <v>0</v>
      </c>
      <c r="AD73">
        <v>7.1003056308600803</v>
      </c>
      <c r="AE73">
        <v>43.302885362526503</v>
      </c>
      <c r="AF73">
        <v>0</v>
      </c>
    </row>
    <row r="74" spans="1:32" x14ac:dyDescent="0.25">
      <c r="A74" t="str">
        <f>_xlfn.TEXTJOIN("_",TRUE,C74,D74,B74,G74)</f>
        <v>SEPAC_CM_2018_1</v>
      </c>
      <c r="B74">
        <v>2018</v>
      </c>
      <c r="C74" t="s">
        <v>13</v>
      </c>
      <c r="D74" t="s">
        <v>9</v>
      </c>
      <c r="E74" t="str">
        <f>_xlfn.TEXTJOIN("_",TRUE,C74:D74)</f>
        <v>SEPAC_CM</v>
      </c>
      <c r="F74" t="s">
        <v>48</v>
      </c>
      <c r="G74">
        <v>1</v>
      </c>
      <c r="H74" t="s">
        <v>24</v>
      </c>
      <c r="I74">
        <v>179</v>
      </c>
      <c r="J74" s="3">
        <v>60.889138998311765</v>
      </c>
      <c r="K74" s="3">
        <v>26.195835678109173</v>
      </c>
      <c r="L74" s="3">
        <v>39.713512653191145</v>
      </c>
      <c r="M74" s="3">
        <v>49.508196721311478</v>
      </c>
      <c r="N74">
        <v>3.194</v>
      </c>
      <c r="O74">
        <v>18.243600000000001</v>
      </c>
      <c r="P74">
        <v>0</v>
      </c>
      <c r="Q74">
        <v>1</v>
      </c>
      <c r="R74">
        <v>99.45</v>
      </c>
      <c r="S74">
        <f>R74/Q74</f>
        <v>99.45</v>
      </c>
      <c r="T74" t="s">
        <v>192</v>
      </c>
      <c r="U74">
        <v>5.0049571560087802</v>
      </c>
      <c r="V74">
        <v>0</v>
      </c>
      <c r="W74">
        <v>9</v>
      </c>
      <c r="X74">
        <v>1.61894531819107</v>
      </c>
      <c r="Y74" t="s">
        <v>192</v>
      </c>
      <c r="Z74">
        <v>69.164719212520396</v>
      </c>
      <c r="AA74">
        <v>0</v>
      </c>
      <c r="AB74">
        <v>17.187168047588699</v>
      </c>
      <c r="AC74">
        <v>10.725161107570299</v>
      </c>
      <c r="AD74">
        <v>0</v>
      </c>
      <c r="AE74">
        <v>0</v>
      </c>
      <c r="AF74">
        <v>0</v>
      </c>
    </row>
    <row r="75" spans="1:32" x14ac:dyDescent="0.25">
      <c r="A75" t="str">
        <f>_xlfn.TEXTJOIN("_",TRUE,C75,D75,B75,G75)</f>
        <v>SEPAC_CM_2018_2</v>
      </c>
      <c r="B75">
        <v>2018</v>
      </c>
      <c r="C75" t="s">
        <v>13</v>
      </c>
      <c r="D75" t="s">
        <v>9</v>
      </c>
      <c r="E75" t="str">
        <f>_xlfn.TEXTJOIN("_",TRUE,C75:D75)</f>
        <v>SEPAC_CM</v>
      </c>
      <c r="F75" t="s">
        <v>49</v>
      </c>
      <c r="G75">
        <v>2</v>
      </c>
      <c r="H75" t="s">
        <v>19</v>
      </c>
      <c r="I75">
        <v>192</v>
      </c>
      <c r="J75" s="3">
        <v>60.889138998311765</v>
      </c>
      <c r="K75" s="3">
        <v>26.195835678109173</v>
      </c>
      <c r="L75" s="3">
        <v>39.713512653191145</v>
      </c>
      <c r="M75" s="3">
        <v>49.508196721311478</v>
      </c>
      <c r="N75">
        <v>11.8035</v>
      </c>
      <c r="O75">
        <v>6.4836</v>
      </c>
      <c r="P75">
        <v>0</v>
      </c>
      <c r="Q75">
        <v>1.03</v>
      </c>
      <c r="R75">
        <v>56.21</v>
      </c>
      <c r="S75">
        <f>R75/Q75</f>
        <v>54.572815533980581</v>
      </c>
      <c r="T75" t="s">
        <v>193</v>
      </c>
      <c r="U75">
        <v>25.3130425146825</v>
      </c>
      <c r="V75">
        <v>7.0328371440180302</v>
      </c>
      <c r="W75">
        <v>13</v>
      </c>
      <c r="X75">
        <v>2.1294494019859398</v>
      </c>
      <c r="Y75" t="s">
        <v>193</v>
      </c>
      <c r="Z75">
        <v>47.333136335093997</v>
      </c>
      <c r="AA75">
        <v>7.0328371440180302</v>
      </c>
      <c r="AB75">
        <v>20.0458020906438</v>
      </c>
      <c r="AC75">
        <v>2.8958741181250698</v>
      </c>
      <c r="AD75">
        <v>20.2157130720644</v>
      </c>
      <c r="AE75">
        <v>0</v>
      </c>
      <c r="AF75">
        <v>0</v>
      </c>
    </row>
    <row r="76" spans="1:32" x14ac:dyDescent="0.25">
      <c r="A76" t="str">
        <f>_xlfn.TEXTJOIN("_",TRUE,C76,D76,B76,G76)</f>
        <v>SEPAC_CM_2018_3</v>
      </c>
      <c r="B76">
        <v>2018</v>
      </c>
      <c r="C76" t="s">
        <v>13</v>
      </c>
      <c r="D76" t="s">
        <v>9</v>
      </c>
      <c r="E76" t="str">
        <f>_xlfn.TEXTJOIN("_",TRUE,C76:D76)</f>
        <v>SEPAC_CM</v>
      </c>
      <c r="F76" t="s">
        <v>50</v>
      </c>
      <c r="G76">
        <v>3</v>
      </c>
      <c r="H76" t="s">
        <v>20</v>
      </c>
      <c r="I76">
        <v>204</v>
      </c>
      <c r="J76" s="3">
        <v>60.889138998311765</v>
      </c>
      <c r="K76" s="3">
        <v>26.195835678109173</v>
      </c>
      <c r="L76" s="3">
        <v>39.713512653191145</v>
      </c>
      <c r="M76" s="3">
        <v>49.508196721311478</v>
      </c>
      <c r="N76">
        <v>5.6569000000000003</v>
      </c>
      <c r="O76">
        <v>14.5383</v>
      </c>
      <c r="P76">
        <v>0</v>
      </c>
      <c r="Q76">
        <v>1.04</v>
      </c>
      <c r="R76">
        <v>72.430000000000007</v>
      </c>
      <c r="S76">
        <f>R76/Q76</f>
        <v>69.644230769230774</v>
      </c>
      <c r="T76" t="s">
        <v>194</v>
      </c>
      <c r="U76">
        <v>9.6859429261663905</v>
      </c>
      <c r="V76">
        <v>27.504152196889599</v>
      </c>
      <c r="W76">
        <v>7</v>
      </c>
      <c r="X76">
        <v>1.1479285580976899</v>
      </c>
      <c r="Y76" t="s">
        <v>194</v>
      </c>
      <c r="Z76">
        <v>18.070360863657001</v>
      </c>
      <c r="AA76">
        <v>27.504152196889599</v>
      </c>
      <c r="AB76">
        <v>0</v>
      </c>
      <c r="AC76">
        <v>3.8622980522421901</v>
      </c>
      <c r="AD76">
        <v>49.904876943983098</v>
      </c>
      <c r="AE76">
        <v>0</v>
      </c>
      <c r="AF76">
        <v>0</v>
      </c>
    </row>
    <row r="77" spans="1:32" x14ac:dyDescent="0.25">
      <c r="A77" t="str">
        <f>_xlfn.TEXTJOIN("_",TRUE,C77,D77,B77,G77)</f>
        <v>SEPAC_CM_2018_4</v>
      </c>
      <c r="B77">
        <v>2018</v>
      </c>
      <c r="C77" t="s">
        <v>13</v>
      </c>
      <c r="D77" t="s">
        <v>9</v>
      </c>
      <c r="E77" t="str">
        <f>_xlfn.TEXTJOIN("_",TRUE,C77:D77)</f>
        <v>SEPAC_CM</v>
      </c>
      <c r="F77" t="s">
        <v>51</v>
      </c>
      <c r="G77">
        <v>4</v>
      </c>
      <c r="H77" t="s">
        <v>21</v>
      </c>
      <c r="I77">
        <v>222</v>
      </c>
      <c r="J77" s="3">
        <v>60.889138998311765</v>
      </c>
      <c r="K77" s="3">
        <v>26.195835678109173</v>
      </c>
      <c r="L77" s="3">
        <v>39.713512653191145</v>
      </c>
      <c r="M77" s="3">
        <v>49.508196721311478</v>
      </c>
      <c r="N77">
        <v>10.773</v>
      </c>
      <c r="O77">
        <v>11.35</v>
      </c>
      <c r="P77">
        <v>0</v>
      </c>
      <c r="Q77">
        <v>1.02</v>
      </c>
      <c r="R77">
        <v>63.27</v>
      </c>
      <c r="S77">
        <f>R77/Q77</f>
        <v>62.029411764705884</v>
      </c>
      <c r="T77" t="s">
        <v>195</v>
      </c>
      <c r="U77">
        <v>28.1528825258852</v>
      </c>
      <c r="V77">
        <v>22.490093314585199</v>
      </c>
      <c r="W77">
        <v>10</v>
      </c>
      <c r="X77">
        <v>1.84441382361893</v>
      </c>
      <c r="Y77" t="s">
        <v>195</v>
      </c>
      <c r="Z77">
        <v>44.842132174357701</v>
      </c>
      <c r="AA77">
        <v>22.490093314585199</v>
      </c>
      <c r="AB77">
        <v>4.0086923175252496</v>
      </c>
      <c r="AC77">
        <v>10.8756231624696</v>
      </c>
      <c r="AD77">
        <v>16.356896331330699</v>
      </c>
      <c r="AE77">
        <v>0</v>
      </c>
      <c r="AF77">
        <v>0</v>
      </c>
    </row>
    <row r="78" spans="1:32" x14ac:dyDescent="0.25">
      <c r="A78" t="str">
        <f>_xlfn.TEXTJOIN("_",TRUE,C78,D78,B78,G78)</f>
        <v>SEPAC_CM_2018_5</v>
      </c>
      <c r="B78">
        <v>2018</v>
      </c>
      <c r="C78" t="s">
        <v>13</v>
      </c>
      <c r="D78" t="s">
        <v>9</v>
      </c>
      <c r="E78" t="str">
        <f>_xlfn.TEXTJOIN("_",TRUE,C78:D78)</f>
        <v>SEPAC_CM</v>
      </c>
      <c r="F78" t="s">
        <v>52</v>
      </c>
      <c r="G78">
        <v>5</v>
      </c>
      <c r="H78" t="s">
        <v>22</v>
      </c>
      <c r="I78">
        <v>236</v>
      </c>
      <c r="J78" s="3">
        <v>60.889138998311765</v>
      </c>
      <c r="K78" s="3">
        <v>26.195835678109173</v>
      </c>
      <c r="L78" s="3">
        <v>39.713512653191145</v>
      </c>
      <c r="M78" s="3">
        <v>49.508196721311478</v>
      </c>
      <c r="N78">
        <v>2.226</v>
      </c>
      <c r="O78">
        <v>14.3034</v>
      </c>
      <c r="P78">
        <v>0</v>
      </c>
      <c r="Q78">
        <v>1.05</v>
      </c>
      <c r="R78">
        <v>81.52</v>
      </c>
      <c r="S78">
        <f>R78/Q78</f>
        <v>77.638095238095232</v>
      </c>
      <c r="T78" t="s">
        <v>196</v>
      </c>
      <c r="U78">
        <v>16.0345183140596</v>
      </c>
      <c r="V78">
        <v>0</v>
      </c>
      <c r="W78">
        <v>6</v>
      </c>
      <c r="X78">
        <v>1.2882401910065899</v>
      </c>
      <c r="Y78" t="s">
        <v>196</v>
      </c>
      <c r="Z78">
        <v>16.0345183140596</v>
      </c>
      <c r="AA78">
        <v>0</v>
      </c>
      <c r="AB78">
        <v>3.4105870968765402</v>
      </c>
      <c r="AC78">
        <v>0</v>
      </c>
      <c r="AD78">
        <v>22.314757531052202</v>
      </c>
      <c r="AE78">
        <v>55.985976934913303</v>
      </c>
      <c r="AF78">
        <v>0</v>
      </c>
    </row>
    <row r="79" spans="1:32" x14ac:dyDescent="0.25">
      <c r="A79" t="str">
        <f>_xlfn.TEXTJOIN("_",TRUE,C79,D79,B79,G79)</f>
        <v>SEPAC_CM_2018_6</v>
      </c>
      <c r="B79">
        <v>2018</v>
      </c>
      <c r="C79" t="s">
        <v>13</v>
      </c>
      <c r="D79" t="s">
        <v>9</v>
      </c>
      <c r="E79" t="str">
        <f>_xlfn.TEXTJOIN("_",TRUE,C79:D79)</f>
        <v>SEPAC_CM</v>
      </c>
      <c r="F79" t="s">
        <v>53</v>
      </c>
      <c r="G79">
        <v>6</v>
      </c>
      <c r="H79" t="s">
        <v>23</v>
      </c>
      <c r="I79">
        <v>252</v>
      </c>
      <c r="J79" s="3">
        <v>60.889138998311765</v>
      </c>
      <c r="K79" s="3">
        <v>26.195835678109173</v>
      </c>
      <c r="L79" s="3">
        <v>39.713512653191145</v>
      </c>
      <c r="M79" s="3">
        <v>49.508196721311478</v>
      </c>
      <c r="N79">
        <v>2.137</v>
      </c>
      <c r="O79">
        <v>3.2968999999999999</v>
      </c>
      <c r="P79">
        <v>0</v>
      </c>
      <c r="Q79">
        <v>1.02</v>
      </c>
      <c r="R79">
        <v>77.680000000000007</v>
      </c>
      <c r="S79">
        <f>R79/Q79</f>
        <v>76.156862745098039</v>
      </c>
      <c r="T79" t="s">
        <v>197</v>
      </c>
      <c r="U79">
        <v>4.2019578823487498</v>
      </c>
      <c r="V79">
        <v>0</v>
      </c>
      <c r="W79">
        <v>6</v>
      </c>
      <c r="X79">
        <v>1.1230105687029499</v>
      </c>
      <c r="Y79" t="s">
        <v>197</v>
      </c>
      <c r="Z79">
        <v>5.0667784098001096</v>
      </c>
      <c r="AA79">
        <v>2.76385941762807</v>
      </c>
      <c r="AB79">
        <v>12.167222410441999</v>
      </c>
      <c r="AC79">
        <v>0</v>
      </c>
      <c r="AD79">
        <v>0</v>
      </c>
      <c r="AE79">
        <v>78.748595781102296</v>
      </c>
      <c r="AF79">
        <v>0</v>
      </c>
    </row>
    <row r="80" spans="1:32" x14ac:dyDescent="0.25">
      <c r="A80" t="str">
        <f>_xlfn.TEXTJOIN("_",TRUE,C80,D80,B80,G80)</f>
        <v>SEPAC_CM_2019_1</v>
      </c>
      <c r="B80">
        <v>2019</v>
      </c>
      <c r="C80" t="s">
        <v>13</v>
      </c>
      <c r="D80" t="s">
        <v>9</v>
      </c>
      <c r="E80" t="str">
        <f>_xlfn.TEXTJOIN("_",TRUE,C80:D80)</f>
        <v>SEPAC_CM</v>
      </c>
      <c r="F80" t="s">
        <v>72</v>
      </c>
      <c r="G80">
        <v>1</v>
      </c>
      <c r="H80" t="s">
        <v>24</v>
      </c>
      <c r="I80">
        <v>179</v>
      </c>
      <c r="J80" s="3">
        <v>60.889138998311765</v>
      </c>
      <c r="K80" s="3">
        <v>26.195835678109173</v>
      </c>
      <c r="L80" s="3">
        <v>39.713512653191145</v>
      </c>
      <c r="M80" s="3">
        <v>49.508196721311478</v>
      </c>
      <c r="N80">
        <v>0.73</v>
      </c>
      <c r="O80">
        <v>41.593000000000004</v>
      </c>
      <c r="P80">
        <v>1.49</v>
      </c>
      <c r="Q80">
        <v>1.01</v>
      </c>
      <c r="R80">
        <v>52.27</v>
      </c>
      <c r="S80">
        <f>R80/Q80</f>
        <v>51.752475247524757</v>
      </c>
      <c r="T80" t="s">
        <v>198</v>
      </c>
      <c r="U80">
        <v>23.103010677402398</v>
      </c>
      <c r="V80">
        <v>9.4280588132329797</v>
      </c>
      <c r="W80">
        <v>13</v>
      </c>
      <c r="X80">
        <v>2.25611443812616</v>
      </c>
      <c r="Y80" t="s">
        <v>198</v>
      </c>
      <c r="Z80">
        <v>48.540609137055803</v>
      </c>
      <c r="AA80">
        <v>9.4280588132329797</v>
      </c>
      <c r="AB80">
        <v>23.8162961666375</v>
      </c>
      <c r="AC80">
        <v>11.1478207596709</v>
      </c>
      <c r="AD80">
        <v>4.2184491510589899</v>
      </c>
      <c r="AE80">
        <v>0</v>
      </c>
      <c r="AF80">
        <v>0</v>
      </c>
    </row>
    <row r="81" spans="1:32" x14ac:dyDescent="0.25">
      <c r="A81" t="str">
        <f>_xlfn.TEXTJOIN("_",TRUE,C81,D81,B81,G81)</f>
        <v>SEPAC_CM_2019_2</v>
      </c>
      <c r="B81">
        <v>2019</v>
      </c>
      <c r="C81" t="s">
        <v>13</v>
      </c>
      <c r="D81" t="s">
        <v>9</v>
      </c>
      <c r="E81" t="str">
        <f>_xlfn.TEXTJOIN("_",TRUE,C81:D81)</f>
        <v>SEPAC_CM</v>
      </c>
      <c r="F81" t="s">
        <v>73</v>
      </c>
      <c r="G81">
        <v>2</v>
      </c>
      <c r="H81" t="s">
        <v>19</v>
      </c>
      <c r="I81">
        <v>193</v>
      </c>
      <c r="J81" s="3">
        <v>60.889138998311765</v>
      </c>
      <c r="K81" s="3">
        <v>26.195835678109173</v>
      </c>
      <c r="L81" s="3">
        <v>39.713512653191145</v>
      </c>
      <c r="M81" s="3">
        <v>49.508196721311478</v>
      </c>
      <c r="N81">
        <v>2.4975000000000001</v>
      </c>
      <c r="O81">
        <v>9.2356999999999996</v>
      </c>
      <c r="P81">
        <v>0.82179999999999997</v>
      </c>
      <c r="Q81">
        <v>0.98</v>
      </c>
      <c r="R81">
        <v>61.95</v>
      </c>
      <c r="S81">
        <f>R81/Q81</f>
        <v>63.214285714285715</v>
      </c>
      <c r="T81" t="s">
        <v>199</v>
      </c>
      <c r="U81">
        <v>5.0904777081341397</v>
      </c>
      <c r="V81">
        <v>24.1332908389107</v>
      </c>
      <c r="W81">
        <v>7</v>
      </c>
      <c r="X81">
        <v>1.3636884695843601</v>
      </c>
      <c r="Y81" t="s">
        <v>199</v>
      </c>
      <c r="Z81">
        <v>21.2295052940968</v>
      </c>
      <c r="AA81">
        <v>24.1332908389107</v>
      </c>
      <c r="AB81">
        <v>1.55281702609866</v>
      </c>
      <c r="AC81">
        <v>5.6092637841283297</v>
      </c>
      <c r="AD81">
        <v>46.981125393958699</v>
      </c>
      <c r="AE81">
        <v>0</v>
      </c>
      <c r="AF81">
        <v>0</v>
      </c>
    </row>
    <row r="82" spans="1:32" x14ac:dyDescent="0.25">
      <c r="A82" t="str">
        <f>_xlfn.TEXTJOIN("_",TRUE,C82,D82,B82,G82)</f>
        <v>SEPAC_CM_2019_3</v>
      </c>
      <c r="B82">
        <v>2019</v>
      </c>
      <c r="C82" t="s">
        <v>13</v>
      </c>
      <c r="D82" t="s">
        <v>9</v>
      </c>
      <c r="E82" t="str">
        <f>_xlfn.TEXTJOIN("_",TRUE,C82:D82)</f>
        <v>SEPAC_CM</v>
      </c>
      <c r="F82" t="s">
        <v>74</v>
      </c>
      <c r="G82">
        <v>3</v>
      </c>
      <c r="H82" t="s">
        <v>20</v>
      </c>
      <c r="I82">
        <v>208</v>
      </c>
      <c r="J82" s="3">
        <v>60.889138998311765</v>
      </c>
      <c r="K82" s="3">
        <v>26.195835678109173</v>
      </c>
      <c r="L82" s="3">
        <v>39.713512653191145</v>
      </c>
      <c r="M82" s="3">
        <v>49.508196721311478</v>
      </c>
      <c r="N82">
        <v>4.0069999999999997</v>
      </c>
      <c r="O82">
        <v>15.057499999999999</v>
      </c>
      <c r="P82">
        <v>0.85089999999999999</v>
      </c>
      <c r="Q82">
        <v>0.99</v>
      </c>
      <c r="R82">
        <v>132.63999999999999</v>
      </c>
      <c r="S82">
        <f>R82/Q82</f>
        <v>133.97979797979798</v>
      </c>
      <c r="T82" t="s">
        <v>200</v>
      </c>
      <c r="U82">
        <v>12.388162422574</v>
      </c>
      <c r="V82">
        <v>20.2773317019704</v>
      </c>
      <c r="W82">
        <v>10</v>
      </c>
      <c r="X82">
        <v>1.7707933638736</v>
      </c>
      <c r="Y82" t="s">
        <v>200</v>
      </c>
      <c r="Z82">
        <v>15.4393209451709</v>
      </c>
      <c r="AA82">
        <v>24.554561443756199</v>
      </c>
      <c r="AB82">
        <v>8.91896714333053</v>
      </c>
      <c r="AC82">
        <v>10.629349239122099</v>
      </c>
      <c r="AD82">
        <v>38.744870128214899</v>
      </c>
      <c r="AE82">
        <v>0</v>
      </c>
      <c r="AF82">
        <v>0</v>
      </c>
    </row>
    <row r="83" spans="1:32" x14ac:dyDescent="0.25">
      <c r="A83" t="str">
        <f>_xlfn.TEXTJOIN("_",TRUE,C83,D83,B83,G83)</f>
        <v>SEPAC_CM_2019_4</v>
      </c>
      <c r="B83">
        <v>2019</v>
      </c>
      <c r="C83" t="s">
        <v>13</v>
      </c>
      <c r="D83" t="s">
        <v>9</v>
      </c>
      <c r="E83" t="str">
        <f>_xlfn.TEXTJOIN("_",TRUE,C83:D83)</f>
        <v>SEPAC_CM</v>
      </c>
      <c r="F83" t="s">
        <v>75</v>
      </c>
      <c r="G83">
        <v>4</v>
      </c>
      <c r="H83" t="s">
        <v>21</v>
      </c>
      <c r="I83">
        <v>221</v>
      </c>
      <c r="J83" s="3">
        <v>60.889138998311765</v>
      </c>
      <c r="K83" s="3">
        <v>26.195835678109173</v>
      </c>
      <c r="L83" s="3">
        <v>39.713512653191145</v>
      </c>
      <c r="M83" s="3">
        <v>49.508196721311478</v>
      </c>
      <c r="N83">
        <v>0</v>
      </c>
      <c r="O83">
        <v>24.357199999999999</v>
      </c>
      <c r="P83">
        <v>0.25519999999999998</v>
      </c>
      <c r="Q83">
        <v>1.02</v>
      </c>
      <c r="R83">
        <v>108.43</v>
      </c>
      <c r="S83">
        <f>R83/Q83</f>
        <v>106.30392156862746</v>
      </c>
      <c r="T83" t="s">
        <v>201</v>
      </c>
      <c r="U83">
        <v>5.1926189103219897</v>
      </c>
      <c r="V83">
        <v>0</v>
      </c>
      <c r="W83">
        <v>6</v>
      </c>
      <c r="X83">
        <v>0.97880161843701696</v>
      </c>
      <c r="Y83" t="s">
        <v>201</v>
      </c>
      <c r="Z83">
        <v>5.1926189103219897</v>
      </c>
      <c r="AA83">
        <v>1.17282687549992</v>
      </c>
      <c r="AB83">
        <v>13.7316542346398</v>
      </c>
      <c r="AC83">
        <v>0</v>
      </c>
      <c r="AD83">
        <v>1.17282687549992</v>
      </c>
      <c r="AE83">
        <v>77.888353578005507</v>
      </c>
      <c r="AF83">
        <v>0</v>
      </c>
    </row>
    <row r="84" spans="1:32" x14ac:dyDescent="0.25">
      <c r="A84" t="str">
        <f>_xlfn.TEXTJOIN("_",TRUE,C84,D84,B84,G84)</f>
        <v>SEPAC_CM_2019_5</v>
      </c>
      <c r="B84">
        <v>2019</v>
      </c>
      <c r="C84" t="s">
        <v>13</v>
      </c>
      <c r="D84" t="s">
        <v>9</v>
      </c>
      <c r="E84" t="str">
        <f>_xlfn.TEXTJOIN("_",TRUE,C84:D84)</f>
        <v>SEPAC_CM</v>
      </c>
      <c r="F84" t="s">
        <v>76</v>
      </c>
      <c r="G84">
        <v>5</v>
      </c>
      <c r="H84" t="s">
        <v>22</v>
      </c>
      <c r="I84">
        <v>235</v>
      </c>
      <c r="J84" s="3">
        <v>60.889138998311765</v>
      </c>
      <c r="K84" s="3">
        <v>26.195835678109173</v>
      </c>
      <c r="L84" s="3">
        <v>39.713512653191145</v>
      </c>
      <c r="M84" s="3">
        <v>49.508196721311478</v>
      </c>
      <c r="N84">
        <v>0</v>
      </c>
      <c r="O84">
        <v>23.496600000000001</v>
      </c>
      <c r="P84">
        <v>0</v>
      </c>
      <c r="Q84">
        <v>1.02</v>
      </c>
      <c r="R84">
        <v>95.56</v>
      </c>
      <c r="S84">
        <f>R84/Q84</f>
        <v>93.686274509803923</v>
      </c>
      <c r="T84" t="s">
        <v>202</v>
      </c>
      <c r="U84">
        <v>2.08797816735279</v>
      </c>
      <c r="V84">
        <v>6.6608076229242803</v>
      </c>
      <c r="W84">
        <v>8</v>
      </c>
      <c r="X84">
        <v>1.1818301531942701</v>
      </c>
      <c r="Y84" t="s">
        <v>202</v>
      </c>
      <c r="Z84">
        <v>2.08797816735279</v>
      </c>
      <c r="AA84">
        <v>7.1733197650215104</v>
      </c>
      <c r="AB84">
        <v>5.3166196401313703</v>
      </c>
      <c r="AC84">
        <v>7.5812942319256198</v>
      </c>
      <c r="AD84">
        <v>0</v>
      </c>
      <c r="AE84">
        <v>76.532679587399997</v>
      </c>
      <c r="AF84">
        <v>0</v>
      </c>
    </row>
    <row r="85" spans="1:32" x14ac:dyDescent="0.25">
      <c r="A85" t="str">
        <f>_xlfn.TEXTJOIN("_",TRUE,C85,D85,B85,G85)</f>
        <v>SEPAC_CM_2019_6</v>
      </c>
      <c r="B85">
        <v>2019</v>
      </c>
      <c r="C85" t="s">
        <v>13</v>
      </c>
      <c r="D85" t="s">
        <v>9</v>
      </c>
      <c r="E85" t="str">
        <f>_xlfn.TEXTJOIN("_",TRUE,C85:D85)</f>
        <v>SEPAC_CM</v>
      </c>
      <c r="F85" t="s">
        <v>77</v>
      </c>
      <c r="G85">
        <v>6</v>
      </c>
      <c r="H85" t="s">
        <v>23</v>
      </c>
      <c r="I85">
        <v>248</v>
      </c>
      <c r="J85" s="3">
        <v>60.889138998311765</v>
      </c>
      <c r="K85" s="3">
        <v>26.195835678109173</v>
      </c>
      <c r="L85" s="3">
        <v>39.713512653191145</v>
      </c>
      <c r="M85" s="3">
        <v>49.508196721311478</v>
      </c>
      <c r="N85" s="1">
        <v>0</v>
      </c>
      <c r="O85">
        <v>7.2618</v>
      </c>
      <c r="P85">
        <v>0</v>
      </c>
      <c r="Q85">
        <v>1.03</v>
      </c>
      <c r="R85">
        <v>66.400000000000006</v>
      </c>
      <c r="S85">
        <f>R85/Q85</f>
        <v>64.466019417475735</v>
      </c>
      <c r="T85" t="s">
        <v>203</v>
      </c>
      <c r="U85">
        <v>13.396608828909001</v>
      </c>
      <c r="V85">
        <v>0</v>
      </c>
      <c r="W85">
        <v>6</v>
      </c>
      <c r="X85">
        <v>0.96851091047726001</v>
      </c>
      <c r="Y85" t="s">
        <v>203</v>
      </c>
      <c r="Z85">
        <v>13.396608828909001</v>
      </c>
      <c r="AA85">
        <v>2.0416234119333598</v>
      </c>
      <c r="AB85">
        <v>11.3290325769934</v>
      </c>
      <c r="AC85">
        <v>0</v>
      </c>
      <c r="AD85">
        <v>0</v>
      </c>
      <c r="AE85">
        <v>71.315932572050002</v>
      </c>
      <c r="AF85">
        <v>0</v>
      </c>
    </row>
    <row r="86" spans="1:32" x14ac:dyDescent="0.25">
      <c r="A86" t="str">
        <f>_xlfn.TEXTJOIN("_",TRUE,C86,D86,B86,G86)</f>
        <v>SEPAC_CM_2020_1</v>
      </c>
      <c r="B86">
        <v>2020</v>
      </c>
      <c r="C86" t="s">
        <v>13</v>
      </c>
      <c r="D86" t="s">
        <v>9</v>
      </c>
      <c r="E86" t="str">
        <f>_xlfn.TEXTJOIN("_",TRUE,C86:D86)</f>
        <v>SEPAC_CM</v>
      </c>
      <c r="F86" t="s">
        <v>102</v>
      </c>
      <c r="G86">
        <v>1</v>
      </c>
      <c r="H86" t="s">
        <v>24</v>
      </c>
      <c r="I86">
        <v>175</v>
      </c>
      <c r="J86" s="3">
        <v>60.889138998311765</v>
      </c>
      <c r="K86" s="3">
        <v>26.195835678109173</v>
      </c>
      <c r="L86" s="3">
        <v>39.713512653191145</v>
      </c>
      <c r="M86" s="3">
        <v>49.508196721311478</v>
      </c>
      <c r="N86">
        <v>8.1117000000000008</v>
      </c>
      <c r="O86">
        <v>0</v>
      </c>
      <c r="P86">
        <v>0</v>
      </c>
      <c r="Q86">
        <v>0.99</v>
      </c>
      <c r="R86">
        <v>87.54</v>
      </c>
      <c r="S86">
        <f>R86/Q86</f>
        <v>88.424242424242436</v>
      </c>
      <c r="T86" t="s">
        <v>204</v>
      </c>
      <c r="U86">
        <v>51.842983601799503</v>
      </c>
      <c r="V86">
        <v>21.206404488946902</v>
      </c>
      <c r="W86">
        <v>9</v>
      </c>
      <c r="X86">
        <v>1.60114699549186</v>
      </c>
      <c r="Y86" t="s">
        <v>204</v>
      </c>
      <c r="Z86">
        <v>52.827359357616203</v>
      </c>
      <c r="AA86">
        <v>30.496299521114501</v>
      </c>
      <c r="AB86">
        <v>14.930102065496101</v>
      </c>
      <c r="AC86">
        <v>0.66753736758090298</v>
      </c>
      <c r="AD86">
        <v>0</v>
      </c>
      <c r="AE86">
        <v>0</v>
      </c>
      <c r="AF86">
        <v>0</v>
      </c>
    </row>
    <row r="87" spans="1:32" x14ac:dyDescent="0.25">
      <c r="A87" t="str">
        <f>_xlfn.TEXTJOIN("_",TRUE,C87,D87,B87,G87)</f>
        <v>SEPAC_CM_2020_2</v>
      </c>
      <c r="B87">
        <v>2020</v>
      </c>
      <c r="C87" t="s">
        <v>13</v>
      </c>
      <c r="D87" t="s">
        <v>9</v>
      </c>
      <c r="E87" t="str">
        <f>_xlfn.TEXTJOIN("_",TRUE,C87:D87)</f>
        <v>SEPAC_CM</v>
      </c>
      <c r="F87" t="s">
        <v>103</v>
      </c>
      <c r="G87">
        <v>2</v>
      </c>
      <c r="H87" t="s">
        <v>19</v>
      </c>
      <c r="I87">
        <v>191</v>
      </c>
      <c r="J87" s="3">
        <v>60.889138998311765</v>
      </c>
      <c r="K87" s="3">
        <v>26.195835678109173</v>
      </c>
      <c r="L87" s="3">
        <v>39.713512653191145</v>
      </c>
      <c r="M87" s="3">
        <v>49.508196721311478</v>
      </c>
      <c r="N87">
        <v>1.3632</v>
      </c>
      <c r="O87">
        <v>0</v>
      </c>
      <c r="P87">
        <v>0.3785</v>
      </c>
      <c r="Q87">
        <v>1.01</v>
      </c>
      <c r="R87">
        <v>146.65</v>
      </c>
      <c r="S87">
        <f>R87/Q87</f>
        <v>145.19801980198019</v>
      </c>
      <c r="T87" t="s">
        <v>205</v>
      </c>
      <c r="U87">
        <v>46.0892540446632</v>
      </c>
      <c r="V87">
        <v>0</v>
      </c>
      <c r="W87">
        <v>7</v>
      </c>
      <c r="X87">
        <v>1.4072421518339</v>
      </c>
      <c r="Y87" t="s">
        <v>205</v>
      </c>
      <c r="Z87">
        <v>66.915197799413605</v>
      </c>
      <c r="AA87">
        <v>0</v>
      </c>
      <c r="AB87">
        <v>29.479894313945501</v>
      </c>
      <c r="AC87">
        <v>0.87589127366173203</v>
      </c>
      <c r="AD87">
        <v>0.69130261681566496</v>
      </c>
      <c r="AE87">
        <v>0</v>
      </c>
      <c r="AF87">
        <v>0</v>
      </c>
    </row>
    <row r="88" spans="1:32" x14ac:dyDescent="0.25">
      <c r="A88" t="str">
        <f>_xlfn.TEXTJOIN("_",TRUE,C88,D88,B88,G88)</f>
        <v>SEPAC_CM_2020_3</v>
      </c>
      <c r="B88">
        <v>2020</v>
      </c>
      <c r="C88" t="s">
        <v>13</v>
      </c>
      <c r="D88" t="s">
        <v>9</v>
      </c>
      <c r="E88" t="str">
        <f>_xlfn.TEXTJOIN("_",TRUE,C88:D88)</f>
        <v>SEPAC_CM</v>
      </c>
      <c r="F88" t="s">
        <v>104</v>
      </c>
      <c r="G88">
        <v>3</v>
      </c>
      <c r="H88" t="s">
        <v>20</v>
      </c>
      <c r="I88">
        <v>205</v>
      </c>
      <c r="J88" s="3">
        <v>60.889138998311765</v>
      </c>
      <c r="K88" s="3">
        <v>26.195835678109173</v>
      </c>
      <c r="L88" s="3">
        <v>39.713512653191145</v>
      </c>
      <c r="M88" s="3">
        <v>49.508196721311478</v>
      </c>
      <c r="N88">
        <v>3.0484</v>
      </c>
      <c r="O88">
        <v>7.8532000000000002</v>
      </c>
      <c r="P88">
        <v>1.0872999999999999</v>
      </c>
      <c r="Q88">
        <v>1.04</v>
      </c>
      <c r="R88">
        <v>65.62</v>
      </c>
      <c r="S88">
        <f>R88/Q88</f>
        <v>63.096153846153847</v>
      </c>
      <c r="T88" t="s">
        <v>206</v>
      </c>
      <c r="U88">
        <v>46.399325028537397</v>
      </c>
      <c r="V88">
        <v>0.96282693930219898</v>
      </c>
      <c r="W88">
        <v>9</v>
      </c>
      <c r="X88">
        <v>1.64374149684634</v>
      </c>
      <c r="Y88" t="s">
        <v>206</v>
      </c>
      <c r="Z88">
        <v>46.399325028537397</v>
      </c>
      <c r="AA88">
        <v>0.96282693930219898</v>
      </c>
      <c r="AB88">
        <v>21.775274207156698</v>
      </c>
      <c r="AC88">
        <v>7.0772743064171904</v>
      </c>
      <c r="AD88">
        <v>22.078018760236201</v>
      </c>
      <c r="AE88">
        <v>0</v>
      </c>
      <c r="AF88">
        <v>0</v>
      </c>
    </row>
    <row r="89" spans="1:32" x14ac:dyDescent="0.25">
      <c r="A89" t="str">
        <f>_xlfn.TEXTJOIN("_",TRUE,C89,D89,B89,G89)</f>
        <v>SEPAC_CM_2020_4</v>
      </c>
      <c r="B89">
        <v>2020</v>
      </c>
      <c r="C89" t="s">
        <v>13</v>
      </c>
      <c r="D89" t="s">
        <v>9</v>
      </c>
      <c r="E89" t="str">
        <f>_xlfn.TEXTJOIN("_",TRUE,C89:D89)</f>
        <v>SEPAC_CM</v>
      </c>
      <c r="F89" t="s">
        <v>105</v>
      </c>
      <c r="G89">
        <v>4</v>
      </c>
      <c r="H89" t="s">
        <v>21</v>
      </c>
      <c r="I89">
        <v>216</v>
      </c>
      <c r="J89" s="3">
        <v>60.889138998311765</v>
      </c>
      <c r="K89" s="3">
        <v>26.195835678109173</v>
      </c>
      <c r="L89" s="3">
        <v>39.713512653191145</v>
      </c>
      <c r="M89" s="3">
        <v>49.508196721311478</v>
      </c>
      <c r="N89">
        <v>1.7618</v>
      </c>
      <c r="O89">
        <v>0</v>
      </c>
      <c r="P89">
        <v>2.8142999999999998</v>
      </c>
      <c r="Q89">
        <v>1.04</v>
      </c>
      <c r="R89">
        <v>149.72</v>
      </c>
      <c r="S89">
        <f>R89/Q89</f>
        <v>143.96153846153845</v>
      </c>
      <c r="T89" t="s">
        <v>207</v>
      </c>
      <c r="U89">
        <v>57.345876701361099</v>
      </c>
      <c r="V89">
        <v>35.233186549239399</v>
      </c>
      <c r="W89">
        <v>3</v>
      </c>
      <c r="X89">
        <v>0.51827464391326195</v>
      </c>
      <c r="Y89" t="s">
        <v>207</v>
      </c>
      <c r="Z89">
        <v>61.816119562316501</v>
      </c>
      <c r="AA89">
        <v>35.233186549239399</v>
      </c>
      <c r="AB89">
        <v>0</v>
      </c>
      <c r="AC89">
        <v>1.8498131838804399</v>
      </c>
      <c r="AD89">
        <v>0</v>
      </c>
      <c r="AE89">
        <v>0</v>
      </c>
      <c r="AF89">
        <v>0</v>
      </c>
    </row>
    <row r="90" spans="1:32" x14ac:dyDescent="0.25">
      <c r="A90" t="str">
        <f>_xlfn.TEXTJOIN("_",TRUE,C90,D90,B90,G90)</f>
        <v>SEPAC_CM_2020_5</v>
      </c>
      <c r="B90">
        <v>2020</v>
      </c>
      <c r="C90" t="s">
        <v>13</v>
      </c>
      <c r="D90" t="s">
        <v>9</v>
      </c>
      <c r="E90" t="str">
        <f>_xlfn.TEXTJOIN("_",TRUE,C90:D90)</f>
        <v>SEPAC_CM</v>
      </c>
      <c r="F90" t="s">
        <v>106</v>
      </c>
      <c r="G90">
        <v>5</v>
      </c>
      <c r="H90" t="s">
        <v>22</v>
      </c>
      <c r="I90">
        <v>233</v>
      </c>
      <c r="J90" s="3">
        <v>60.889138998311765</v>
      </c>
      <c r="K90" s="3">
        <v>26.195835678109173</v>
      </c>
      <c r="L90" s="3">
        <v>39.713512653191145</v>
      </c>
      <c r="M90" s="3">
        <v>49.508196721311478</v>
      </c>
      <c r="N90">
        <v>2.2263000000000002</v>
      </c>
      <c r="O90">
        <v>10.492800000000001</v>
      </c>
      <c r="P90">
        <v>1.9444999999999999</v>
      </c>
      <c r="Q90">
        <v>1.02</v>
      </c>
      <c r="R90">
        <v>72.430000000000007</v>
      </c>
      <c r="S90">
        <f>R90/Q90</f>
        <v>71.009803921568633</v>
      </c>
      <c r="T90" t="s">
        <v>208</v>
      </c>
      <c r="U90">
        <v>52.930174563591002</v>
      </c>
      <c r="V90">
        <v>19.525405236907702</v>
      </c>
      <c r="W90">
        <v>8</v>
      </c>
      <c r="X90">
        <v>1.5501698621648501</v>
      </c>
      <c r="Y90" t="s">
        <v>208</v>
      </c>
      <c r="Z90">
        <v>54.1400405236908</v>
      </c>
      <c r="AA90">
        <v>24.6239869077307</v>
      </c>
      <c r="AB90">
        <v>8.1768235660847903</v>
      </c>
      <c r="AC90">
        <v>11.294030548628401</v>
      </c>
      <c r="AD90">
        <v>0</v>
      </c>
      <c r="AE90">
        <v>0</v>
      </c>
      <c r="AF90">
        <v>0</v>
      </c>
    </row>
    <row r="91" spans="1:32" x14ac:dyDescent="0.25">
      <c r="A91" t="str">
        <f>_xlfn.TEXTJOIN("_",TRUE,C91,D91,B91,G91)</f>
        <v>SEPAC_CM_2020_6</v>
      </c>
      <c r="B91">
        <v>2020</v>
      </c>
      <c r="C91" t="s">
        <v>13</v>
      </c>
      <c r="D91" t="s">
        <v>9</v>
      </c>
      <c r="E91" t="str">
        <f>_xlfn.TEXTJOIN("_",TRUE,C91:D91)</f>
        <v>SEPAC_CM</v>
      </c>
      <c r="F91" t="s">
        <v>107</v>
      </c>
      <c r="G91">
        <v>6</v>
      </c>
      <c r="H91" t="s">
        <v>23</v>
      </c>
      <c r="I91">
        <v>247</v>
      </c>
      <c r="J91" s="3">
        <v>60.889138998311765</v>
      </c>
      <c r="K91" s="3">
        <v>26.195835678109173</v>
      </c>
      <c r="L91" s="3">
        <v>39.713512653191145</v>
      </c>
      <c r="M91" s="3">
        <v>49.508196721311478</v>
      </c>
      <c r="N91">
        <v>0</v>
      </c>
      <c r="O91">
        <v>0</v>
      </c>
      <c r="P91">
        <v>1.1101000000000001</v>
      </c>
      <c r="Q91">
        <v>1.03</v>
      </c>
      <c r="R91">
        <v>162.6</v>
      </c>
      <c r="S91">
        <f>R91/Q91</f>
        <v>157.86407766990291</v>
      </c>
      <c r="T91" t="s">
        <v>209</v>
      </c>
      <c r="U91">
        <v>56.140475598052099</v>
      </c>
      <c r="V91">
        <v>24.4179433405609</v>
      </c>
      <c r="W91">
        <v>6</v>
      </c>
      <c r="X91">
        <v>1.1256825980210801</v>
      </c>
      <c r="Y91" t="s">
        <v>209</v>
      </c>
      <c r="Z91">
        <v>57.636938826289402</v>
      </c>
      <c r="AA91">
        <v>24.4179433405609</v>
      </c>
      <c r="AB91">
        <v>15.051718622258599</v>
      </c>
      <c r="AC91">
        <v>1.03259517292859</v>
      </c>
      <c r="AD91">
        <v>0</v>
      </c>
      <c r="AE91">
        <v>0</v>
      </c>
      <c r="AF91">
        <v>0</v>
      </c>
    </row>
    <row r="92" spans="1:32" x14ac:dyDescent="0.25">
      <c r="A92" t="str">
        <f>_xlfn.TEXTJOIN("_",TRUE,C92,D92,B92,G92)</f>
        <v>SEPAC_IPM_2018_1</v>
      </c>
      <c r="B92">
        <v>2018</v>
      </c>
      <c r="C92" t="s">
        <v>13</v>
      </c>
      <c r="D92" t="s">
        <v>10</v>
      </c>
      <c r="E92" t="str">
        <f>_xlfn.TEXTJOIN("_",TRUE,C92:D92)</f>
        <v>SEPAC_IPM</v>
      </c>
      <c r="F92" t="s">
        <v>48</v>
      </c>
      <c r="G92">
        <v>1</v>
      </c>
      <c r="H92" t="s">
        <v>24</v>
      </c>
      <c r="I92">
        <v>179</v>
      </c>
      <c r="J92" s="3">
        <v>26.1175147596289</v>
      </c>
      <c r="K92" s="3">
        <v>72.870396401461903</v>
      </c>
      <c r="L92" s="3">
        <v>35.952267303102623</v>
      </c>
      <c r="M92" s="3">
        <v>58.504375497215591</v>
      </c>
      <c r="N92">
        <v>0</v>
      </c>
      <c r="O92">
        <v>0</v>
      </c>
      <c r="P92">
        <v>0</v>
      </c>
      <c r="Q92">
        <v>1.02</v>
      </c>
      <c r="R92">
        <v>49.12</v>
      </c>
      <c r="S92">
        <f>R92/Q92</f>
        <v>48.156862745098039</v>
      </c>
      <c r="T92" t="s">
        <v>210</v>
      </c>
      <c r="U92">
        <v>64.216052083065307</v>
      </c>
      <c r="V92">
        <v>0</v>
      </c>
      <c r="W92">
        <v>8</v>
      </c>
      <c r="X92">
        <v>1.64179107202442</v>
      </c>
      <c r="Y92" t="s">
        <v>210</v>
      </c>
      <c r="Z92">
        <v>65.718844085329806</v>
      </c>
      <c r="AA92">
        <v>0</v>
      </c>
      <c r="AB92">
        <v>8.3219680399372091</v>
      </c>
      <c r="AC92">
        <v>20.923290702761101</v>
      </c>
      <c r="AD92">
        <v>0</v>
      </c>
      <c r="AE92">
        <v>2.91037286739919</v>
      </c>
      <c r="AF92">
        <v>0</v>
      </c>
    </row>
    <row r="93" spans="1:32" x14ac:dyDescent="0.25">
      <c r="A93" t="str">
        <f>_xlfn.TEXTJOIN("_",TRUE,C93,D93,B93,G93)</f>
        <v>SEPAC_IPM_2018_2</v>
      </c>
      <c r="B93">
        <v>2018</v>
      </c>
      <c r="C93" t="s">
        <v>13</v>
      </c>
      <c r="D93" t="s">
        <v>10</v>
      </c>
      <c r="E93" t="str">
        <f>_xlfn.TEXTJOIN("_",TRUE,C93:D93)</f>
        <v>SEPAC_IPM</v>
      </c>
      <c r="F93" t="s">
        <v>49</v>
      </c>
      <c r="G93">
        <v>2</v>
      </c>
      <c r="H93" t="s">
        <v>19</v>
      </c>
      <c r="I93">
        <v>192</v>
      </c>
      <c r="J93" s="3">
        <v>26.1175147596289</v>
      </c>
      <c r="K93" s="3">
        <v>72.870396401461903</v>
      </c>
      <c r="L93" s="3">
        <v>35.952267303102623</v>
      </c>
      <c r="M93" s="3">
        <v>58.504375497215591</v>
      </c>
      <c r="N93">
        <v>0</v>
      </c>
      <c r="O93">
        <v>0</v>
      </c>
      <c r="P93">
        <v>0</v>
      </c>
      <c r="Q93">
        <v>1.03</v>
      </c>
      <c r="R93">
        <v>72.150000000000006</v>
      </c>
      <c r="S93">
        <f>R93/Q93</f>
        <v>70.048543689320397</v>
      </c>
      <c r="T93" t="s">
        <v>211</v>
      </c>
      <c r="U93">
        <v>43.655179887299496</v>
      </c>
      <c r="V93">
        <v>0</v>
      </c>
      <c r="W93">
        <v>3</v>
      </c>
      <c r="X93">
        <v>0.38786285402453802</v>
      </c>
      <c r="Y93" t="s">
        <v>211</v>
      </c>
      <c r="Z93">
        <v>97.507585609016004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tr">
        <f>_xlfn.TEXTJOIN("_",TRUE,C94,D94,B94,G94)</f>
        <v>SEPAC_IPM_2018_3</v>
      </c>
      <c r="B94">
        <v>2018</v>
      </c>
      <c r="C94" t="s">
        <v>13</v>
      </c>
      <c r="D94" t="s">
        <v>10</v>
      </c>
      <c r="E94" t="str">
        <f>_xlfn.TEXTJOIN("_",TRUE,C94:D94)</f>
        <v>SEPAC_IPM</v>
      </c>
      <c r="F94" t="s">
        <v>50</v>
      </c>
      <c r="G94">
        <v>3</v>
      </c>
      <c r="H94" t="s">
        <v>20</v>
      </c>
      <c r="I94">
        <v>204</v>
      </c>
      <c r="J94" s="3">
        <v>26.1175147596289</v>
      </c>
      <c r="K94" s="3">
        <v>72.870396401461903</v>
      </c>
      <c r="L94" s="3">
        <v>35.952267303102623</v>
      </c>
      <c r="M94" s="3">
        <v>58.504375497215591</v>
      </c>
      <c r="N94">
        <v>0</v>
      </c>
      <c r="O94">
        <v>10.2333</v>
      </c>
      <c r="P94">
        <v>0.92710000000000004</v>
      </c>
      <c r="Q94">
        <v>0.98</v>
      </c>
      <c r="R94">
        <v>91.32</v>
      </c>
      <c r="S94">
        <f>R94/Q94</f>
        <v>93.183673469387756</v>
      </c>
      <c r="T94" t="s">
        <v>212</v>
      </c>
      <c r="U94">
        <v>44.043505766704001</v>
      </c>
      <c r="V94">
        <v>1.60105114604117</v>
      </c>
      <c r="W94">
        <v>8</v>
      </c>
      <c r="X94">
        <v>1.2198194972290699</v>
      </c>
      <c r="Y94" t="s">
        <v>212</v>
      </c>
      <c r="Z94">
        <v>45.8027154606064</v>
      </c>
      <c r="AA94">
        <v>1.60105114604117</v>
      </c>
      <c r="AB94">
        <v>47.479196067935199</v>
      </c>
      <c r="AC94">
        <v>3.4186578422307701</v>
      </c>
      <c r="AD94">
        <v>0</v>
      </c>
      <c r="AE94">
        <v>0</v>
      </c>
      <c r="AF94">
        <v>0</v>
      </c>
    </row>
    <row r="95" spans="1:32" x14ac:dyDescent="0.25">
      <c r="A95" t="str">
        <f>_xlfn.TEXTJOIN("_",TRUE,C95,D95,B95,G95)</f>
        <v>SEPAC_IPM_2018_4</v>
      </c>
      <c r="B95">
        <v>2018</v>
      </c>
      <c r="C95" t="s">
        <v>13</v>
      </c>
      <c r="D95" t="s">
        <v>10</v>
      </c>
      <c r="E95" t="str">
        <f>_xlfn.TEXTJOIN("_",TRUE,C95:D95)</f>
        <v>SEPAC_IPM</v>
      </c>
      <c r="F95" t="s">
        <v>51</v>
      </c>
      <c r="G95">
        <v>4</v>
      </c>
      <c r="H95" t="s">
        <v>21</v>
      </c>
      <c r="I95">
        <v>222</v>
      </c>
      <c r="J95" s="3">
        <v>26.1175147596289</v>
      </c>
      <c r="K95" s="3">
        <v>72.870396401461903</v>
      </c>
      <c r="L95" s="3">
        <v>35.952267303102623</v>
      </c>
      <c r="M95" s="3">
        <v>58.504375497215591</v>
      </c>
      <c r="N95">
        <v>0</v>
      </c>
      <c r="O95">
        <v>33.728700000000003</v>
      </c>
      <c r="P95">
        <v>0</v>
      </c>
      <c r="Q95">
        <v>1.03</v>
      </c>
      <c r="R95">
        <v>78.31</v>
      </c>
      <c r="S95">
        <f>R95/Q95</f>
        <v>76.029126213592235</v>
      </c>
      <c r="T95" t="s">
        <v>213</v>
      </c>
      <c r="U95">
        <v>22.087049863265801</v>
      </c>
      <c r="V95">
        <v>15.145551665090601</v>
      </c>
      <c r="W95">
        <v>9</v>
      </c>
      <c r="X95">
        <v>1.77009439701146</v>
      </c>
      <c r="Y95" t="s">
        <v>213</v>
      </c>
      <c r="Z95">
        <v>43.0239987732256</v>
      </c>
      <c r="AA95">
        <v>15.145551665090601</v>
      </c>
      <c r="AB95">
        <v>32.629641935236499</v>
      </c>
      <c r="AC95">
        <v>3.1461650522657001</v>
      </c>
      <c r="AD95">
        <v>4.3320469241188997</v>
      </c>
      <c r="AE95">
        <v>0</v>
      </c>
      <c r="AF95">
        <v>0</v>
      </c>
    </row>
    <row r="96" spans="1:32" x14ac:dyDescent="0.25">
      <c r="A96" t="str">
        <f>_xlfn.TEXTJOIN("_",TRUE,C96,D96,B96,G96)</f>
        <v>SEPAC_IPM_2018_5</v>
      </c>
      <c r="B96">
        <v>2018</v>
      </c>
      <c r="C96" t="s">
        <v>13</v>
      </c>
      <c r="D96" t="s">
        <v>10</v>
      </c>
      <c r="E96" t="str">
        <f>_xlfn.TEXTJOIN("_",TRUE,C96:D96)</f>
        <v>SEPAC_IPM</v>
      </c>
      <c r="F96" t="s">
        <v>52</v>
      </c>
      <c r="G96">
        <v>5</v>
      </c>
      <c r="H96" t="s">
        <v>22</v>
      </c>
      <c r="I96">
        <v>236</v>
      </c>
      <c r="J96" s="3">
        <v>26.1175147596289</v>
      </c>
      <c r="K96" s="3">
        <v>72.870396401461903</v>
      </c>
      <c r="L96" s="3">
        <v>35.952267303102623</v>
      </c>
      <c r="M96" s="3">
        <v>58.504375497215591</v>
      </c>
      <c r="N96">
        <v>0</v>
      </c>
      <c r="O96">
        <v>0</v>
      </c>
      <c r="P96">
        <v>0</v>
      </c>
      <c r="Q96">
        <v>1.02</v>
      </c>
      <c r="R96">
        <v>84.2</v>
      </c>
      <c r="S96">
        <f>R96/Q96</f>
        <v>82.549019607843135</v>
      </c>
      <c r="T96" t="s">
        <v>214</v>
      </c>
      <c r="U96">
        <v>19.351303966688601</v>
      </c>
      <c r="V96">
        <v>16.554898093359601</v>
      </c>
      <c r="W96">
        <v>10</v>
      </c>
      <c r="X96">
        <v>1.7766811962954401</v>
      </c>
      <c r="Y96" t="s">
        <v>214</v>
      </c>
      <c r="Z96">
        <v>46.188910804295404</v>
      </c>
      <c r="AA96">
        <v>16.554898093359601</v>
      </c>
      <c r="AB96">
        <v>28.961209730440501</v>
      </c>
      <c r="AC96">
        <v>2.1542844619767698</v>
      </c>
      <c r="AD96">
        <v>4.83892176199869</v>
      </c>
      <c r="AE96">
        <v>0</v>
      </c>
      <c r="AF96">
        <v>0</v>
      </c>
    </row>
    <row r="97" spans="1:32" x14ac:dyDescent="0.25">
      <c r="A97" t="str">
        <f>_xlfn.TEXTJOIN("_",TRUE,C97,D97,B97,G97)</f>
        <v>SEPAC_IPM_2018_6</v>
      </c>
      <c r="B97">
        <v>2018</v>
      </c>
      <c r="C97" t="s">
        <v>13</v>
      </c>
      <c r="D97" t="s">
        <v>10</v>
      </c>
      <c r="E97" t="str">
        <f>_xlfn.TEXTJOIN("_",TRUE,C97:D97)</f>
        <v>SEPAC_IPM</v>
      </c>
      <c r="F97" t="s">
        <v>53</v>
      </c>
      <c r="G97">
        <v>6</v>
      </c>
      <c r="H97" t="s">
        <v>23</v>
      </c>
      <c r="I97">
        <v>252</v>
      </c>
      <c r="J97" s="3">
        <v>26.1175147596289</v>
      </c>
      <c r="K97" s="3">
        <v>72.870396401461903</v>
      </c>
      <c r="L97" s="3">
        <v>35.952267303102623</v>
      </c>
      <c r="M97" s="3">
        <v>58.504375497215591</v>
      </c>
      <c r="N97">
        <v>0.70099999999999996</v>
      </c>
      <c r="O97">
        <v>0</v>
      </c>
      <c r="P97">
        <v>0.3649</v>
      </c>
      <c r="Q97">
        <v>1.02</v>
      </c>
      <c r="R97">
        <v>52.11</v>
      </c>
      <c r="S97">
        <f>R97/Q97</f>
        <v>51.088235294117645</v>
      </c>
      <c r="T97" t="s">
        <v>215</v>
      </c>
      <c r="U97">
        <v>20.010660980810201</v>
      </c>
      <c r="V97">
        <v>15.9211087420043</v>
      </c>
      <c r="W97">
        <v>9</v>
      </c>
      <c r="X97">
        <v>1.4941036585754901</v>
      </c>
      <c r="Y97" t="s">
        <v>215</v>
      </c>
      <c r="Z97">
        <v>20.010660980810201</v>
      </c>
      <c r="AA97">
        <v>15.9211087420043</v>
      </c>
      <c r="AB97">
        <v>23.810234541577799</v>
      </c>
      <c r="AC97">
        <v>0.64179104477611904</v>
      </c>
      <c r="AD97">
        <v>36.765458422174802</v>
      </c>
      <c r="AE97">
        <v>0</v>
      </c>
      <c r="AF97">
        <v>0</v>
      </c>
    </row>
    <row r="98" spans="1:32" x14ac:dyDescent="0.25">
      <c r="A98" t="str">
        <f>_xlfn.TEXTJOIN("_",TRUE,C98,D98,B98,G98)</f>
        <v>SEPAC_IPM_2019_1</v>
      </c>
      <c r="B98">
        <v>2019</v>
      </c>
      <c r="C98" t="s">
        <v>13</v>
      </c>
      <c r="D98" t="s">
        <v>10</v>
      </c>
      <c r="E98" t="str">
        <f>_xlfn.TEXTJOIN("_",TRUE,C98:D98)</f>
        <v>SEPAC_IPM</v>
      </c>
      <c r="F98" t="s">
        <v>72</v>
      </c>
      <c r="G98">
        <v>1</v>
      </c>
      <c r="H98" t="s">
        <v>24</v>
      </c>
      <c r="I98">
        <v>179</v>
      </c>
      <c r="J98" s="3">
        <v>26.1175147596289</v>
      </c>
      <c r="K98" s="3">
        <v>72.870396401461903</v>
      </c>
      <c r="L98" s="3">
        <v>35.952267303102623</v>
      </c>
      <c r="M98" s="3">
        <v>58.504375497215591</v>
      </c>
      <c r="N98">
        <v>0</v>
      </c>
      <c r="O98">
        <v>21.3139</v>
      </c>
      <c r="P98">
        <v>0.71140000000000003</v>
      </c>
      <c r="Q98">
        <v>1.02</v>
      </c>
      <c r="R98">
        <v>85.79</v>
      </c>
      <c r="S98">
        <f>R98/Q98</f>
        <v>84.107843137254903</v>
      </c>
      <c r="T98" t="s">
        <v>216</v>
      </c>
      <c r="U98">
        <v>55.34836980795</v>
      </c>
      <c r="V98">
        <v>0</v>
      </c>
      <c r="W98">
        <v>8</v>
      </c>
      <c r="X98">
        <v>1.62146982431566</v>
      </c>
      <c r="Y98" t="s">
        <v>216</v>
      </c>
      <c r="Z98">
        <v>61.7731129968736</v>
      </c>
      <c r="AA98">
        <v>0</v>
      </c>
      <c r="AB98">
        <v>6.7574810183117497</v>
      </c>
      <c r="AC98">
        <v>10.439928539526599</v>
      </c>
      <c r="AD98">
        <v>19.8101831174632</v>
      </c>
      <c r="AE98">
        <v>0</v>
      </c>
      <c r="AF98">
        <v>0</v>
      </c>
    </row>
    <row r="99" spans="1:32" x14ac:dyDescent="0.25">
      <c r="A99" t="str">
        <f>_xlfn.TEXTJOIN("_",TRUE,C99,D99,B99,G99)</f>
        <v>SEPAC_IPM_2019_2</v>
      </c>
      <c r="B99">
        <v>2019</v>
      </c>
      <c r="C99" t="s">
        <v>13</v>
      </c>
      <c r="D99" t="s">
        <v>10</v>
      </c>
      <c r="E99" t="str">
        <f>_xlfn.TEXTJOIN("_",TRUE,C99:D99)</f>
        <v>SEPAC_IPM</v>
      </c>
      <c r="F99" t="s">
        <v>73</v>
      </c>
      <c r="G99">
        <v>2</v>
      </c>
      <c r="H99" t="s">
        <v>19</v>
      </c>
      <c r="I99">
        <v>193</v>
      </c>
      <c r="J99" s="3">
        <v>26.1175147596289</v>
      </c>
      <c r="K99" s="3">
        <v>72.870396401461903</v>
      </c>
      <c r="L99" s="3">
        <v>35.952267303102623</v>
      </c>
      <c r="M99" s="3">
        <v>58.504375497215591</v>
      </c>
      <c r="N99">
        <v>0</v>
      </c>
      <c r="O99">
        <v>5.4881000000000002</v>
      </c>
      <c r="P99">
        <v>0</v>
      </c>
      <c r="Q99">
        <v>1.04</v>
      </c>
      <c r="R99">
        <v>107.22</v>
      </c>
      <c r="S99">
        <f>R99/Q99</f>
        <v>103.09615384615384</v>
      </c>
      <c r="T99" t="s">
        <v>217</v>
      </c>
      <c r="U99">
        <v>88.255284442329895</v>
      </c>
      <c r="V99">
        <v>5.9607150139332603</v>
      </c>
      <c r="W99">
        <v>3</v>
      </c>
      <c r="X99">
        <v>0.831429961126397</v>
      </c>
      <c r="Y99" t="s">
        <v>217</v>
      </c>
      <c r="Z99">
        <v>88.255284442329895</v>
      </c>
      <c r="AA99">
        <v>5.9607150139332603</v>
      </c>
      <c r="AB99">
        <v>0</v>
      </c>
      <c r="AC99">
        <v>0</v>
      </c>
      <c r="AD99">
        <v>3.41647975713088</v>
      </c>
      <c r="AE99">
        <v>0</v>
      </c>
      <c r="AF99">
        <v>0</v>
      </c>
    </row>
    <row r="100" spans="1:32" x14ac:dyDescent="0.25">
      <c r="A100" t="str">
        <f>_xlfn.TEXTJOIN("_",TRUE,C100,D100,B100,G100)</f>
        <v>SEPAC_IPM_2019_3</v>
      </c>
      <c r="B100">
        <v>2019</v>
      </c>
      <c r="C100" t="s">
        <v>13</v>
      </c>
      <c r="D100" t="s">
        <v>10</v>
      </c>
      <c r="E100" t="str">
        <f>_xlfn.TEXTJOIN("_",TRUE,C100:D100)</f>
        <v>SEPAC_IPM</v>
      </c>
      <c r="F100" t="s">
        <v>74</v>
      </c>
      <c r="G100">
        <v>3</v>
      </c>
      <c r="H100" t="s">
        <v>20</v>
      </c>
      <c r="I100">
        <v>208</v>
      </c>
      <c r="J100" s="3">
        <v>26.1175147596289</v>
      </c>
      <c r="K100" s="3">
        <v>72.870396401461903</v>
      </c>
      <c r="L100" s="3">
        <v>35.952267303102623</v>
      </c>
      <c r="M100" s="3">
        <v>58.504375497215591</v>
      </c>
      <c r="N100">
        <v>1.1573</v>
      </c>
      <c r="O100">
        <v>8.6599000000000004</v>
      </c>
      <c r="P100">
        <v>0</v>
      </c>
      <c r="Q100">
        <v>1.02</v>
      </c>
      <c r="R100">
        <v>78.47</v>
      </c>
      <c r="S100">
        <f>R100/Q100</f>
        <v>76.931372549019599</v>
      </c>
      <c r="T100" t="s">
        <v>218</v>
      </c>
      <c r="U100">
        <v>35.762680827687198</v>
      </c>
      <c r="V100">
        <v>22.218152963437699</v>
      </c>
      <c r="W100">
        <v>12</v>
      </c>
      <c r="X100">
        <v>1.9673073434124599</v>
      </c>
      <c r="Y100" t="s">
        <v>218</v>
      </c>
      <c r="Z100">
        <v>38.074019817290299</v>
      </c>
      <c r="AA100">
        <v>22.218152963437699</v>
      </c>
      <c r="AB100">
        <v>20.966855887200101</v>
      </c>
      <c r="AC100">
        <v>0.91965248529980304</v>
      </c>
      <c r="AD100">
        <v>15.573053368328999</v>
      </c>
      <c r="AE100">
        <v>0</v>
      </c>
      <c r="AF100">
        <v>0</v>
      </c>
    </row>
    <row r="101" spans="1:32" x14ac:dyDescent="0.25">
      <c r="A101" t="str">
        <f>_xlfn.TEXTJOIN("_",TRUE,C101,D101,B101,G101)</f>
        <v>SEPAC_IPM_2019_4</v>
      </c>
      <c r="B101">
        <v>2019</v>
      </c>
      <c r="C101" t="s">
        <v>13</v>
      </c>
      <c r="D101" t="s">
        <v>10</v>
      </c>
      <c r="E101" t="str">
        <f>_xlfn.TEXTJOIN("_",TRUE,C101:D101)</f>
        <v>SEPAC_IPM</v>
      </c>
      <c r="F101" t="s">
        <v>75</v>
      </c>
      <c r="G101">
        <v>4</v>
      </c>
      <c r="H101" t="s">
        <v>21</v>
      </c>
      <c r="I101">
        <v>221</v>
      </c>
      <c r="J101" s="3">
        <v>26.1175147596289</v>
      </c>
      <c r="K101" s="3">
        <v>72.870396401461903</v>
      </c>
      <c r="L101" s="3">
        <v>35.952267303102623</v>
      </c>
      <c r="M101" s="3">
        <v>58.504375497215591</v>
      </c>
      <c r="N101">
        <v>0</v>
      </c>
      <c r="O101">
        <v>12.6975</v>
      </c>
      <c r="P101">
        <v>0</v>
      </c>
      <c r="Q101">
        <v>1.05</v>
      </c>
      <c r="R101">
        <v>152.69</v>
      </c>
      <c r="S101">
        <f>R101/Q101</f>
        <v>145.4190476190476</v>
      </c>
      <c r="T101" t="s">
        <v>219</v>
      </c>
      <c r="U101">
        <v>6.2576074404669004</v>
      </c>
      <c r="V101">
        <v>10.789301207827499</v>
      </c>
      <c r="W101">
        <v>11</v>
      </c>
      <c r="X101">
        <v>1.6411493800102299</v>
      </c>
      <c r="Y101" t="s">
        <v>219</v>
      </c>
      <c r="Z101">
        <v>6.2576074404669004</v>
      </c>
      <c r="AA101">
        <v>10.789301207827499</v>
      </c>
      <c r="AB101">
        <v>16.194875316001401</v>
      </c>
      <c r="AC101">
        <v>1.8569957242283299</v>
      </c>
      <c r="AD101">
        <v>62.432508348678297</v>
      </c>
      <c r="AE101">
        <v>0</v>
      </c>
      <c r="AF101">
        <v>0</v>
      </c>
    </row>
    <row r="102" spans="1:32" x14ac:dyDescent="0.25">
      <c r="A102" t="str">
        <f>_xlfn.TEXTJOIN("_",TRUE,C102,D102,B102,G102)</f>
        <v>SEPAC_IPM_2019_5</v>
      </c>
      <c r="B102">
        <v>2019</v>
      </c>
      <c r="C102" t="s">
        <v>13</v>
      </c>
      <c r="D102" t="s">
        <v>10</v>
      </c>
      <c r="E102" t="str">
        <f>_xlfn.TEXTJOIN("_",TRUE,C102:D102)</f>
        <v>SEPAC_IPM</v>
      </c>
      <c r="F102" t="s">
        <v>76</v>
      </c>
      <c r="G102">
        <v>5</v>
      </c>
      <c r="H102" t="s">
        <v>22</v>
      </c>
      <c r="I102">
        <v>235</v>
      </c>
      <c r="J102" s="3">
        <v>26.1175147596289</v>
      </c>
      <c r="K102" s="3">
        <v>72.870396401461903</v>
      </c>
      <c r="L102" s="3">
        <v>35.952267303102623</v>
      </c>
      <c r="M102" s="3">
        <v>58.504375497215591</v>
      </c>
      <c r="N102">
        <v>0</v>
      </c>
      <c r="O102">
        <v>0</v>
      </c>
      <c r="P102">
        <v>0.9627</v>
      </c>
      <c r="Q102">
        <v>1.02</v>
      </c>
      <c r="R102">
        <v>83.53</v>
      </c>
      <c r="S102">
        <f>R102/Q102</f>
        <v>81.892156862745097</v>
      </c>
      <c r="T102" t="s">
        <v>220</v>
      </c>
      <c r="U102">
        <v>22.4878537826791</v>
      </c>
      <c r="V102">
        <v>22.279632914320999</v>
      </c>
      <c r="W102">
        <v>10</v>
      </c>
      <c r="X102">
        <v>1.6078073714416501</v>
      </c>
      <c r="Y102" t="s">
        <v>220</v>
      </c>
      <c r="Z102">
        <v>23.920336238143001</v>
      </c>
      <c r="AA102">
        <v>22.279632914320999</v>
      </c>
      <c r="AB102">
        <v>9.1617182077581596</v>
      </c>
      <c r="AC102">
        <v>4.55772345183928</v>
      </c>
      <c r="AD102">
        <v>31.576309092311298</v>
      </c>
      <c r="AE102">
        <v>6.9368396699313601</v>
      </c>
      <c r="AF102">
        <v>0</v>
      </c>
    </row>
    <row r="103" spans="1:32" x14ac:dyDescent="0.25">
      <c r="A103" t="str">
        <f>_xlfn.TEXTJOIN("_",TRUE,C103,D103,B103,G103)</f>
        <v>SEPAC_IPM_2019_6</v>
      </c>
      <c r="B103">
        <v>2019</v>
      </c>
      <c r="C103" t="s">
        <v>13</v>
      </c>
      <c r="D103" t="s">
        <v>10</v>
      </c>
      <c r="E103" t="str">
        <f>_xlfn.TEXTJOIN("_",TRUE,C103:D103)</f>
        <v>SEPAC_IPM</v>
      </c>
      <c r="F103" t="s">
        <v>77</v>
      </c>
      <c r="G103">
        <v>6</v>
      </c>
      <c r="H103" t="s">
        <v>23</v>
      </c>
      <c r="I103">
        <v>248</v>
      </c>
      <c r="J103" s="3">
        <v>26.1175147596289</v>
      </c>
      <c r="K103" s="3">
        <v>72.870396401461903</v>
      </c>
      <c r="L103" s="3">
        <v>35.952267303102623</v>
      </c>
      <c r="M103" s="3">
        <v>58.504375497215591</v>
      </c>
      <c r="N103">
        <v>0</v>
      </c>
      <c r="O103">
        <v>0</v>
      </c>
      <c r="P103">
        <v>0</v>
      </c>
      <c r="Q103">
        <v>1.04</v>
      </c>
      <c r="R103">
        <v>173.25</v>
      </c>
      <c r="S103">
        <f>R103/Q103</f>
        <v>166.58653846153845</v>
      </c>
      <c r="T103" t="s">
        <v>221</v>
      </c>
      <c r="U103">
        <v>13.383921369462</v>
      </c>
      <c r="V103">
        <v>1.8552266005437199</v>
      </c>
      <c r="W103">
        <v>10</v>
      </c>
      <c r="X103">
        <v>1.83198993751044</v>
      </c>
      <c r="Y103" t="s">
        <v>221</v>
      </c>
      <c r="Z103">
        <v>15.358647267947299</v>
      </c>
      <c r="AA103">
        <v>1.8552266005437199</v>
      </c>
      <c r="AB103">
        <v>29.0950915663371</v>
      </c>
      <c r="AC103">
        <v>0</v>
      </c>
      <c r="AD103">
        <v>18.074268813670699</v>
      </c>
      <c r="AE103">
        <v>33.244704687359999</v>
      </c>
      <c r="AF103">
        <v>0</v>
      </c>
    </row>
    <row r="104" spans="1:32" x14ac:dyDescent="0.25">
      <c r="A104" t="str">
        <f>_xlfn.TEXTJOIN("_",TRUE,C104,D104,B104,G104)</f>
        <v>SEPAC_IPM_2020_1</v>
      </c>
      <c r="B104">
        <v>2020</v>
      </c>
      <c r="C104" t="s">
        <v>13</v>
      </c>
      <c r="D104" t="s">
        <v>10</v>
      </c>
      <c r="E104" t="str">
        <f>_xlfn.TEXTJOIN("_",TRUE,C104:D104)</f>
        <v>SEPAC_IPM</v>
      </c>
      <c r="F104" t="s">
        <v>102</v>
      </c>
      <c r="G104">
        <v>1</v>
      </c>
      <c r="H104" t="s">
        <v>24</v>
      </c>
      <c r="I104">
        <v>175</v>
      </c>
      <c r="J104" s="3">
        <v>26.1175147596289</v>
      </c>
      <c r="K104" s="3">
        <v>72.870396401461903</v>
      </c>
      <c r="L104" s="3">
        <v>35.952267303102623</v>
      </c>
      <c r="M104" s="3">
        <v>58.504375497215591</v>
      </c>
      <c r="N104">
        <v>0</v>
      </c>
      <c r="O104">
        <v>0</v>
      </c>
      <c r="P104">
        <v>0</v>
      </c>
      <c r="Q104">
        <v>1.02</v>
      </c>
      <c r="R104">
        <v>62.73</v>
      </c>
      <c r="S104">
        <f>R104/Q104</f>
        <v>61.499999999999993</v>
      </c>
      <c r="T104" t="s">
        <v>222</v>
      </c>
      <c r="U104">
        <v>52.160732160732202</v>
      </c>
      <c r="V104">
        <v>0</v>
      </c>
      <c r="W104">
        <v>7</v>
      </c>
      <c r="X104">
        <v>1.2502041780851001</v>
      </c>
      <c r="Y104" t="s">
        <v>222</v>
      </c>
      <c r="Z104">
        <v>53.241813241813198</v>
      </c>
      <c r="AA104">
        <v>0</v>
      </c>
      <c r="AB104">
        <v>40.496210496210502</v>
      </c>
      <c r="AC104">
        <v>4.4801944801944797</v>
      </c>
      <c r="AD104">
        <v>0</v>
      </c>
      <c r="AE104">
        <v>0</v>
      </c>
      <c r="AF104">
        <v>0</v>
      </c>
    </row>
    <row r="105" spans="1:32" x14ac:dyDescent="0.25">
      <c r="A105" t="str">
        <f>_xlfn.TEXTJOIN("_",TRUE,C105,D105,B105,G105)</f>
        <v>SEPAC_IPM_2020_2</v>
      </c>
      <c r="B105">
        <v>2020</v>
      </c>
      <c r="C105" t="s">
        <v>13</v>
      </c>
      <c r="D105" t="s">
        <v>10</v>
      </c>
      <c r="E105" t="str">
        <f>_xlfn.TEXTJOIN("_",TRUE,C105:D105)</f>
        <v>SEPAC_IPM</v>
      </c>
      <c r="F105" t="s">
        <v>103</v>
      </c>
      <c r="G105">
        <v>2</v>
      </c>
      <c r="H105" t="s">
        <v>19</v>
      </c>
      <c r="I105">
        <v>191</v>
      </c>
      <c r="J105" s="3">
        <v>26.1175147596289</v>
      </c>
      <c r="K105" s="3">
        <v>72.870396401461903</v>
      </c>
      <c r="L105" s="3">
        <v>35.952267303102623</v>
      </c>
      <c r="M105" s="3">
        <v>58.504375497215591</v>
      </c>
      <c r="N105">
        <v>0</v>
      </c>
      <c r="O105">
        <v>0</v>
      </c>
      <c r="P105">
        <v>0</v>
      </c>
      <c r="Q105">
        <v>1.01</v>
      </c>
      <c r="R105">
        <v>91.61</v>
      </c>
      <c r="S105">
        <f>R105/Q105</f>
        <v>90.702970297029708</v>
      </c>
      <c r="T105" t="s">
        <v>223</v>
      </c>
      <c r="U105">
        <v>55.702668890742302</v>
      </c>
      <c r="V105">
        <v>22.575062552126798</v>
      </c>
      <c r="W105">
        <v>7</v>
      </c>
      <c r="X105">
        <v>1.2902781123200899</v>
      </c>
      <c r="Y105" t="s">
        <v>223</v>
      </c>
      <c r="Z105">
        <v>58.815679733110898</v>
      </c>
      <c r="AA105">
        <v>22.575062552126798</v>
      </c>
      <c r="AB105">
        <v>15.135529608006699</v>
      </c>
      <c r="AC105">
        <v>1.4595496246872399</v>
      </c>
      <c r="AD105">
        <v>0</v>
      </c>
      <c r="AE105">
        <v>0</v>
      </c>
      <c r="AF105">
        <v>0</v>
      </c>
    </row>
    <row r="106" spans="1:32" x14ac:dyDescent="0.25">
      <c r="A106" t="str">
        <f>_xlfn.TEXTJOIN("_",TRUE,C106,D106,B106,G106)</f>
        <v>SEPAC_IPM_2020_3</v>
      </c>
      <c r="B106">
        <v>2020</v>
      </c>
      <c r="C106" t="s">
        <v>13</v>
      </c>
      <c r="D106" t="s">
        <v>10</v>
      </c>
      <c r="E106" t="str">
        <f>_xlfn.TEXTJOIN("_",TRUE,C106:D106)</f>
        <v>SEPAC_IPM</v>
      </c>
      <c r="F106" t="s">
        <v>104</v>
      </c>
      <c r="G106">
        <v>3</v>
      </c>
      <c r="H106" t="s">
        <v>20</v>
      </c>
      <c r="I106">
        <v>205</v>
      </c>
      <c r="J106" s="3">
        <v>26.1175147596289</v>
      </c>
      <c r="K106" s="3">
        <v>72.870396401461903</v>
      </c>
      <c r="L106" s="3">
        <v>35.952267303102623</v>
      </c>
      <c r="M106" s="3">
        <v>58.504375497215591</v>
      </c>
      <c r="N106">
        <v>0</v>
      </c>
      <c r="O106">
        <v>0</v>
      </c>
      <c r="P106">
        <v>0</v>
      </c>
      <c r="Q106">
        <v>1.01</v>
      </c>
      <c r="R106">
        <v>121.16</v>
      </c>
      <c r="S106">
        <f>R106/Q106</f>
        <v>119.96039603960395</v>
      </c>
      <c r="T106" t="s">
        <v>224</v>
      </c>
      <c r="U106">
        <v>35.1857569208603</v>
      </c>
      <c r="V106">
        <v>0.84388185654008396</v>
      </c>
      <c r="W106">
        <v>9</v>
      </c>
      <c r="X106">
        <v>1.2922585776016799</v>
      </c>
      <c r="Y106" t="s">
        <v>224</v>
      </c>
      <c r="Z106">
        <v>39.302253782031499</v>
      </c>
      <c r="AA106">
        <v>0.84388185654008396</v>
      </c>
      <c r="AB106">
        <v>41.772151898734201</v>
      </c>
      <c r="AC106">
        <v>16.908510857260499</v>
      </c>
      <c r="AD106">
        <v>0</v>
      </c>
      <c r="AE106">
        <v>0</v>
      </c>
      <c r="AF106">
        <v>0</v>
      </c>
    </row>
    <row r="107" spans="1:32" x14ac:dyDescent="0.25">
      <c r="A107" t="str">
        <f>_xlfn.TEXTJOIN("_",TRUE,C107,D107,B107,G107)</f>
        <v>SEPAC_IPM_2020_4</v>
      </c>
      <c r="B107">
        <v>2020</v>
      </c>
      <c r="C107" t="s">
        <v>13</v>
      </c>
      <c r="D107" t="s">
        <v>10</v>
      </c>
      <c r="E107" t="str">
        <f>_xlfn.TEXTJOIN("_",TRUE,C107:D107)</f>
        <v>SEPAC_IPM</v>
      </c>
      <c r="F107" t="s">
        <v>105</v>
      </c>
      <c r="G107">
        <v>4</v>
      </c>
      <c r="H107" t="s">
        <v>21</v>
      </c>
      <c r="I107">
        <v>216</v>
      </c>
      <c r="J107" s="3">
        <v>26.1175147596289</v>
      </c>
      <c r="K107" s="3">
        <v>72.870396401461903</v>
      </c>
      <c r="L107" s="3">
        <v>35.952267303102623</v>
      </c>
      <c r="M107" s="3">
        <v>58.504375497215591</v>
      </c>
      <c r="N107">
        <v>0</v>
      </c>
      <c r="O107">
        <v>0</v>
      </c>
      <c r="P107">
        <v>0.2104</v>
      </c>
      <c r="Q107">
        <v>1.02</v>
      </c>
      <c r="R107">
        <v>153.16</v>
      </c>
      <c r="S107">
        <f>R107/Q107</f>
        <v>150.15686274509804</v>
      </c>
      <c r="T107" t="s">
        <v>225</v>
      </c>
      <c r="U107">
        <v>7.4908823341224604</v>
      </c>
      <c r="V107">
        <v>18.9359523961866</v>
      </c>
      <c r="W107">
        <v>4</v>
      </c>
      <c r="X107">
        <v>0.60628196340722895</v>
      </c>
      <c r="Y107" t="s">
        <v>225</v>
      </c>
      <c r="Z107">
        <v>78.287158487427206</v>
      </c>
      <c r="AA107">
        <v>18.9359523961866</v>
      </c>
      <c r="AB107">
        <v>0.50547059952652096</v>
      </c>
      <c r="AC107">
        <v>1.1149145818670401</v>
      </c>
      <c r="AD107">
        <v>0</v>
      </c>
      <c r="AE107">
        <v>0</v>
      </c>
      <c r="AF107">
        <v>0</v>
      </c>
    </row>
    <row r="108" spans="1:32" x14ac:dyDescent="0.25">
      <c r="A108" t="str">
        <f>_xlfn.TEXTJOIN("_",TRUE,C108,D108,B108,G108)</f>
        <v>SEPAC_IPM_2020_5</v>
      </c>
      <c r="B108">
        <v>2020</v>
      </c>
      <c r="C108" t="s">
        <v>13</v>
      </c>
      <c r="D108" t="s">
        <v>10</v>
      </c>
      <c r="E108" t="str">
        <f>_xlfn.TEXTJOIN("_",TRUE,C108:D108)</f>
        <v>SEPAC_IPM</v>
      </c>
      <c r="F108" t="s">
        <v>106</v>
      </c>
      <c r="G108">
        <v>5</v>
      </c>
      <c r="H108" t="s">
        <v>22</v>
      </c>
      <c r="I108">
        <v>233</v>
      </c>
      <c r="J108" s="3">
        <v>26.1175147596289</v>
      </c>
      <c r="K108" s="3">
        <v>72.870396401461903</v>
      </c>
      <c r="L108" s="3">
        <v>35.952267303102623</v>
      </c>
      <c r="M108" s="3">
        <v>58.504375497215591</v>
      </c>
      <c r="N108">
        <v>0</v>
      </c>
      <c r="O108">
        <v>4.4256000000000002</v>
      </c>
      <c r="P108">
        <v>0</v>
      </c>
      <c r="Q108">
        <v>1.05</v>
      </c>
      <c r="R108">
        <v>167.37</v>
      </c>
      <c r="S108">
        <f>R108/Q108</f>
        <v>159.4</v>
      </c>
      <c r="T108" t="s">
        <v>226</v>
      </c>
      <c r="U108">
        <v>33.955888396730401</v>
      </c>
      <c r="V108">
        <v>4.3495136764235802</v>
      </c>
      <c r="W108">
        <v>10</v>
      </c>
      <c r="X108">
        <v>1.84281064174005</v>
      </c>
      <c r="Y108" t="s">
        <v>226</v>
      </c>
      <c r="Z108">
        <v>57.498059272112897</v>
      </c>
      <c r="AA108">
        <v>4.3495136764235802</v>
      </c>
      <c r="AB108">
        <v>24.546782958125899</v>
      </c>
      <c r="AC108">
        <v>8.8405863281428392</v>
      </c>
      <c r="AD108">
        <v>2.9932873647198499</v>
      </c>
      <c r="AE108">
        <v>0</v>
      </c>
      <c r="AF108">
        <v>0</v>
      </c>
    </row>
    <row r="109" spans="1:32" x14ac:dyDescent="0.25">
      <c r="A109" t="str">
        <f>_xlfn.TEXTJOIN("_",TRUE,C109,D109,B109,G109)</f>
        <v>SEPAC_IPM_2020_6</v>
      </c>
      <c r="B109">
        <v>2020</v>
      </c>
      <c r="C109" t="s">
        <v>13</v>
      </c>
      <c r="D109" t="s">
        <v>10</v>
      </c>
      <c r="E109" t="str">
        <f>_xlfn.TEXTJOIN("_",TRUE,C109:D109)</f>
        <v>SEPAC_IPM</v>
      </c>
      <c r="F109" t="s">
        <v>107</v>
      </c>
      <c r="G109">
        <v>6</v>
      </c>
      <c r="H109" t="s">
        <v>23</v>
      </c>
      <c r="I109">
        <v>247</v>
      </c>
      <c r="J109" s="3">
        <v>26.1175147596289</v>
      </c>
      <c r="K109" s="3">
        <v>72.870396401461903</v>
      </c>
      <c r="L109" s="3">
        <v>35.952267303102623</v>
      </c>
      <c r="M109" s="3">
        <v>58.504375497215591</v>
      </c>
      <c r="N109">
        <v>0</v>
      </c>
      <c r="O109">
        <v>0</v>
      </c>
      <c r="P109">
        <v>0</v>
      </c>
      <c r="Q109">
        <v>1.04</v>
      </c>
      <c r="R109">
        <v>118.68</v>
      </c>
      <c r="S109">
        <f>R109/Q109</f>
        <v>114.11538461538461</v>
      </c>
      <c r="T109" t="s">
        <v>227</v>
      </c>
      <c r="U109">
        <v>14.4993449373011</v>
      </c>
      <c r="V109">
        <v>35.152536028448402</v>
      </c>
      <c r="W109">
        <v>3</v>
      </c>
      <c r="X109">
        <v>0.78004558990222705</v>
      </c>
      <c r="Y109" t="s">
        <v>227</v>
      </c>
      <c r="Z109">
        <v>62.079356166947399</v>
      </c>
      <c r="AA109">
        <v>35.152536028448402</v>
      </c>
      <c r="AB109">
        <v>0</v>
      </c>
      <c r="AC109">
        <v>2.0737413438143402</v>
      </c>
      <c r="AD109">
        <v>0</v>
      </c>
      <c r="AE109">
        <v>0</v>
      </c>
      <c r="AF109">
        <v>0</v>
      </c>
    </row>
    <row r="110" spans="1:32" x14ac:dyDescent="0.25">
      <c r="A110" t="str">
        <f>_xlfn.TEXTJOIN("_",TRUE,C110,D110,B110,G110)</f>
        <v>SWPAC_CM_2018_1</v>
      </c>
      <c r="B110">
        <v>2018</v>
      </c>
      <c r="C110" t="s">
        <v>14</v>
      </c>
      <c r="D110" t="s">
        <v>9</v>
      </c>
      <c r="E110" t="str">
        <f>_xlfn.TEXTJOIN("_",TRUE,C110:D110)</f>
        <v>SWPAC_CM</v>
      </c>
      <c r="F110" t="s">
        <v>54</v>
      </c>
      <c r="G110">
        <v>1</v>
      </c>
      <c r="H110" t="s">
        <v>24</v>
      </c>
      <c r="I110">
        <v>180</v>
      </c>
      <c r="J110" s="3">
        <v>34.782608695652179</v>
      </c>
      <c r="K110" s="3">
        <v>59.859747545582046</v>
      </c>
      <c r="L110" s="3">
        <v>56.017299125288602</v>
      </c>
      <c r="M110" s="3">
        <v>33.674763437713395</v>
      </c>
      <c r="N110">
        <v>3.8107000000000002</v>
      </c>
      <c r="O110">
        <v>88.555400000000006</v>
      </c>
      <c r="P110">
        <v>0</v>
      </c>
      <c r="Q110">
        <v>1</v>
      </c>
      <c r="R110">
        <v>32.86</v>
      </c>
      <c r="S110">
        <f>R110/Q110</f>
        <v>32.86</v>
      </c>
      <c r="T110" t="s">
        <v>228</v>
      </c>
      <c r="U110">
        <v>12.816161938793799</v>
      </c>
      <c r="V110">
        <v>0</v>
      </c>
      <c r="W110">
        <v>9</v>
      </c>
      <c r="X110">
        <v>1.64925406685384</v>
      </c>
      <c r="Y110" t="s">
        <v>228</v>
      </c>
      <c r="Z110">
        <v>60.106202463418001</v>
      </c>
      <c r="AA110">
        <v>0</v>
      </c>
      <c r="AB110">
        <v>17.221967141117499</v>
      </c>
      <c r="AC110">
        <v>20.1764717625217</v>
      </c>
      <c r="AD110">
        <v>0.56295290759187899</v>
      </c>
      <c r="AE110">
        <v>0</v>
      </c>
      <c r="AF110">
        <v>0</v>
      </c>
    </row>
    <row r="111" spans="1:32" x14ac:dyDescent="0.25">
      <c r="A111" t="str">
        <f>_xlfn.TEXTJOIN("_",TRUE,C111,D111,B111,G111)</f>
        <v>SWPAC_CM_2018_2</v>
      </c>
      <c r="B111">
        <v>2018</v>
      </c>
      <c r="C111" t="s">
        <v>14</v>
      </c>
      <c r="D111" t="s">
        <v>9</v>
      </c>
      <c r="E111" t="str">
        <f>_xlfn.TEXTJOIN("_",TRUE,C111:D111)</f>
        <v>SWPAC_CM</v>
      </c>
      <c r="F111" t="s">
        <v>55</v>
      </c>
      <c r="G111">
        <v>2</v>
      </c>
      <c r="H111" t="s">
        <v>19</v>
      </c>
      <c r="I111">
        <v>194</v>
      </c>
      <c r="J111" s="3">
        <v>34.782608695652179</v>
      </c>
      <c r="K111" s="3">
        <v>59.859747545582046</v>
      </c>
      <c r="L111" s="3">
        <v>56.017299125288602</v>
      </c>
      <c r="M111" s="3">
        <v>33.674763437713395</v>
      </c>
      <c r="N111">
        <v>3.5310999999999999</v>
      </c>
      <c r="O111">
        <v>32.449599999999997</v>
      </c>
      <c r="P111">
        <v>0</v>
      </c>
      <c r="Q111">
        <v>1.05</v>
      </c>
      <c r="R111">
        <v>45.73</v>
      </c>
      <c r="S111">
        <f>R111/Q111</f>
        <v>43.55238095238095</v>
      </c>
      <c r="T111" t="s">
        <v>229</v>
      </c>
      <c r="U111">
        <v>12.4930445814507</v>
      </c>
      <c r="V111">
        <v>0</v>
      </c>
      <c r="W111">
        <v>9</v>
      </c>
      <c r="X111">
        <v>1.63044780592534</v>
      </c>
      <c r="Y111" t="s">
        <v>229</v>
      </c>
      <c r="Z111">
        <v>60.994012775712797</v>
      </c>
      <c r="AA111">
        <v>0</v>
      </c>
      <c r="AB111">
        <v>15.4577221838901</v>
      </c>
      <c r="AC111">
        <v>20.988671014266998</v>
      </c>
      <c r="AD111">
        <v>0.61207683233546295</v>
      </c>
      <c r="AE111">
        <v>0</v>
      </c>
      <c r="AF111">
        <v>0</v>
      </c>
    </row>
    <row r="112" spans="1:32" x14ac:dyDescent="0.25">
      <c r="A112" t="str">
        <f>_xlfn.TEXTJOIN("_",TRUE,C112,D112,B112,G112)</f>
        <v>SWPAC_CM_2018_3</v>
      </c>
      <c r="B112">
        <v>2018</v>
      </c>
      <c r="C112" t="s">
        <v>14</v>
      </c>
      <c r="D112" t="s">
        <v>9</v>
      </c>
      <c r="E112" t="str">
        <f>_xlfn.TEXTJOIN("_",TRUE,C112:D112)</f>
        <v>SWPAC_CM</v>
      </c>
      <c r="F112" t="s">
        <v>56</v>
      </c>
      <c r="G112">
        <v>3</v>
      </c>
      <c r="H112" t="s">
        <v>20</v>
      </c>
      <c r="I112">
        <v>207</v>
      </c>
      <c r="J112" s="3">
        <v>34.782608695652179</v>
      </c>
      <c r="K112" s="3">
        <v>59.859747545582046</v>
      </c>
      <c r="L112" s="3">
        <v>56.017299125288602</v>
      </c>
      <c r="M112" s="3">
        <v>33.674763437713395</v>
      </c>
      <c r="N112">
        <v>2.6219999999999999</v>
      </c>
      <c r="O112">
        <v>22.008199999999999</v>
      </c>
      <c r="P112">
        <v>0.10730000000000001</v>
      </c>
      <c r="Q112">
        <v>1.02</v>
      </c>
      <c r="R112">
        <v>46.74</v>
      </c>
      <c r="S112">
        <f>R112/Q112</f>
        <v>45.82352941176471</v>
      </c>
      <c r="T112" t="s">
        <v>230</v>
      </c>
      <c r="U112">
        <v>26.153607241103899</v>
      </c>
      <c r="V112">
        <v>21.494808767415002</v>
      </c>
      <c r="W112">
        <v>11</v>
      </c>
      <c r="X112">
        <v>1.85798457019216</v>
      </c>
      <c r="Y112" t="s">
        <v>230</v>
      </c>
      <c r="Z112">
        <v>38.656934954299402</v>
      </c>
      <c r="AA112">
        <v>21.494808767415002</v>
      </c>
      <c r="AB112">
        <v>0.50137545478747003</v>
      </c>
      <c r="AC112">
        <v>16.1283166208182</v>
      </c>
      <c r="AD112">
        <v>22.033898305084701</v>
      </c>
      <c r="AE112">
        <v>0</v>
      </c>
      <c r="AF112">
        <v>0</v>
      </c>
    </row>
    <row r="113" spans="1:32" x14ac:dyDescent="0.25">
      <c r="A113" t="str">
        <f>_xlfn.TEXTJOIN("_",TRUE,C113,D113,B113,G113)</f>
        <v>SWPAC_CM_2018_4</v>
      </c>
      <c r="B113">
        <v>2018</v>
      </c>
      <c r="C113" t="s">
        <v>14</v>
      </c>
      <c r="D113" t="s">
        <v>9</v>
      </c>
      <c r="E113" t="str">
        <f>_xlfn.TEXTJOIN("_",TRUE,C113:D113)</f>
        <v>SWPAC_CM</v>
      </c>
      <c r="F113" t="s">
        <v>57</v>
      </c>
      <c r="G113">
        <v>4</v>
      </c>
      <c r="H113" t="s">
        <v>21</v>
      </c>
      <c r="I113">
        <v>219</v>
      </c>
      <c r="J113" s="3">
        <v>34.782608695652179</v>
      </c>
      <c r="K113" s="3">
        <v>59.859747545582046</v>
      </c>
      <c r="L113" s="3">
        <v>56.017299125288602</v>
      </c>
      <c r="M113" s="3">
        <v>33.674763437713395</v>
      </c>
      <c r="N113">
        <v>0.58620000000000005</v>
      </c>
      <c r="O113">
        <v>4.4474999999999998</v>
      </c>
      <c r="P113">
        <v>0.1171</v>
      </c>
      <c r="Q113">
        <v>1.03</v>
      </c>
      <c r="R113">
        <v>66.72</v>
      </c>
      <c r="S113">
        <f>R113/Q113</f>
        <v>64.776699029126206</v>
      </c>
      <c r="T113" t="s">
        <v>231</v>
      </c>
      <c r="U113">
        <v>52.637436404748399</v>
      </c>
      <c r="V113">
        <v>17.481628038439801</v>
      </c>
      <c r="W113">
        <v>7</v>
      </c>
      <c r="X113">
        <v>1.32643569597841</v>
      </c>
      <c r="Y113" t="s">
        <v>231</v>
      </c>
      <c r="Z113">
        <v>52.637436404748399</v>
      </c>
      <c r="AA113">
        <v>24.6996890898813</v>
      </c>
      <c r="AB113">
        <v>0.93802996042962095</v>
      </c>
      <c r="AC113">
        <v>1.0351893725268499</v>
      </c>
      <c r="AD113">
        <v>19.465446579988701</v>
      </c>
      <c r="AE113">
        <v>0</v>
      </c>
      <c r="AF113">
        <v>0</v>
      </c>
    </row>
    <row r="114" spans="1:32" x14ac:dyDescent="0.25">
      <c r="A114" t="str">
        <f>_xlfn.TEXTJOIN("_",TRUE,C114,D114,B114,G114)</f>
        <v>SWPAC_CM_2018_5</v>
      </c>
      <c r="B114">
        <v>2018</v>
      </c>
      <c r="C114" t="s">
        <v>14</v>
      </c>
      <c r="D114" t="s">
        <v>9</v>
      </c>
      <c r="E114" t="str">
        <f>_xlfn.TEXTJOIN("_",TRUE,C114:D114)</f>
        <v>SWPAC_CM</v>
      </c>
      <c r="F114" t="s">
        <v>46</v>
      </c>
      <c r="G114">
        <v>5</v>
      </c>
      <c r="H114" t="s">
        <v>22</v>
      </c>
      <c r="I114">
        <v>233</v>
      </c>
      <c r="J114" s="3">
        <v>34.782608695652179</v>
      </c>
      <c r="K114" s="3">
        <v>59.859747545582046</v>
      </c>
      <c r="L114" s="3">
        <v>56.017299125288602</v>
      </c>
      <c r="M114" s="3">
        <v>33.674763437713395</v>
      </c>
      <c r="N114">
        <v>0</v>
      </c>
      <c r="O114">
        <v>26.457599999999999</v>
      </c>
      <c r="P114">
        <v>0.25829999999999997</v>
      </c>
      <c r="Q114">
        <v>1.04</v>
      </c>
      <c r="R114">
        <v>70.34</v>
      </c>
      <c r="S114">
        <f>R114/Q114</f>
        <v>67.634615384615387</v>
      </c>
      <c r="T114" t="s">
        <v>232</v>
      </c>
      <c r="U114">
        <v>48.2636958064083</v>
      </c>
      <c r="V114">
        <v>9.0487238979118292</v>
      </c>
      <c r="W114">
        <v>5</v>
      </c>
      <c r="X114">
        <v>1.4106891334727301</v>
      </c>
      <c r="Y114" t="s">
        <v>232</v>
      </c>
      <c r="Z114">
        <v>48.2636958064083</v>
      </c>
      <c r="AA114">
        <v>19.915246112251001</v>
      </c>
      <c r="AB114">
        <v>0</v>
      </c>
      <c r="AC114">
        <v>0.62127284232325397</v>
      </c>
      <c r="AD114">
        <v>29.410749554179201</v>
      </c>
      <c r="AE114">
        <v>0</v>
      </c>
      <c r="AF114">
        <v>0</v>
      </c>
    </row>
    <row r="115" spans="1:32" x14ac:dyDescent="0.25">
      <c r="A115" t="str">
        <f>_xlfn.TEXTJOIN("_",TRUE,C115,D115,B115,G115)</f>
        <v>SWPAC_CM_2018_6</v>
      </c>
      <c r="B115">
        <v>2018</v>
      </c>
      <c r="C115" t="s">
        <v>14</v>
      </c>
      <c r="D115" t="s">
        <v>9</v>
      </c>
      <c r="E115" t="str">
        <f>_xlfn.TEXTJOIN("_",TRUE,C115:D115)</f>
        <v>SWPAC_CM</v>
      </c>
      <c r="F115" t="s">
        <v>35</v>
      </c>
      <c r="G115">
        <v>6</v>
      </c>
      <c r="H115" t="s">
        <v>23</v>
      </c>
      <c r="I115">
        <v>250</v>
      </c>
      <c r="J115" s="3">
        <v>34.782608695652179</v>
      </c>
      <c r="K115" s="3">
        <v>59.859747545582046</v>
      </c>
      <c r="L115" s="3">
        <v>56.017299125288602</v>
      </c>
      <c r="M115" s="3">
        <v>33.674763437713395</v>
      </c>
      <c r="N115">
        <v>0</v>
      </c>
      <c r="O115">
        <v>29.8582</v>
      </c>
      <c r="P115">
        <v>0</v>
      </c>
      <c r="Q115">
        <v>1</v>
      </c>
      <c r="R115">
        <v>86.24</v>
      </c>
      <c r="S115">
        <f>R115/Q115</f>
        <v>86.24</v>
      </c>
      <c r="T115" t="s">
        <v>233</v>
      </c>
      <c r="U115">
        <v>0</v>
      </c>
      <c r="V115">
        <v>0</v>
      </c>
      <c r="W115">
        <v>5</v>
      </c>
      <c r="X115">
        <v>0.47214789757501902</v>
      </c>
      <c r="Y115" t="s">
        <v>233</v>
      </c>
      <c r="Z115">
        <v>0</v>
      </c>
      <c r="AA115">
        <v>0</v>
      </c>
      <c r="AB115">
        <v>86.681342872867404</v>
      </c>
      <c r="AC115">
        <v>0</v>
      </c>
      <c r="AD115">
        <v>11.5324961224796</v>
      </c>
      <c r="AE115">
        <v>0</v>
      </c>
      <c r="AF115">
        <v>0</v>
      </c>
    </row>
    <row r="116" spans="1:32" x14ac:dyDescent="0.25">
      <c r="A116" t="str">
        <f>_xlfn.TEXTJOIN("_",TRUE,C116,D116,B116,G116)</f>
        <v>SWPAC_CM_2019_1</v>
      </c>
      <c r="B116">
        <v>2019</v>
      </c>
      <c r="C116" t="s">
        <v>14</v>
      </c>
      <c r="D116" t="s">
        <v>9</v>
      </c>
      <c r="E116" t="str">
        <f>_xlfn.TEXTJOIN("_",TRUE,C116:D116)</f>
        <v>SWPAC_CM</v>
      </c>
      <c r="F116" t="s">
        <v>78</v>
      </c>
      <c r="G116">
        <v>1</v>
      </c>
      <c r="H116" t="s">
        <v>24</v>
      </c>
      <c r="I116">
        <v>178</v>
      </c>
      <c r="J116" s="3">
        <v>34.782608695652179</v>
      </c>
      <c r="K116" s="3">
        <v>59.859747545582046</v>
      </c>
      <c r="L116" s="3">
        <v>56.017299125288602</v>
      </c>
      <c r="M116" s="3">
        <v>33.674763437713395</v>
      </c>
      <c r="N116">
        <v>0</v>
      </c>
      <c r="O116">
        <v>99.373699999999999</v>
      </c>
      <c r="P116">
        <v>0</v>
      </c>
      <c r="Q116">
        <v>1.02</v>
      </c>
      <c r="R116">
        <v>92.32</v>
      </c>
      <c r="S116">
        <f>R116/Q116</f>
        <v>90.509803921568619</v>
      </c>
      <c r="T116" t="s">
        <v>234</v>
      </c>
      <c r="U116">
        <v>42.5056067779716</v>
      </c>
      <c r="V116">
        <v>22.339895340144501</v>
      </c>
      <c r="W116">
        <v>9</v>
      </c>
      <c r="X116">
        <v>1.71441948406615</v>
      </c>
      <c r="Y116" t="s">
        <v>234</v>
      </c>
      <c r="Z116">
        <v>47.341971924578502</v>
      </c>
      <c r="AA116">
        <v>22.339895340144501</v>
      </c>
      <c r="AB116">
        <v>0</v>
      </c>
      <c r="AC116">
        <v>7.3843342470304796</v>
      </c>
      <c r="AD116">
        <v>20.605947337818801</v>
      </c>
      <c r="AE116">
        <v>0</v>
      </c>
      <c r="AF116">
        <v>0</v>
      </c>
    </row>
    <row r="117" spans="1:32" x14ac:dyDescent="0.25">
      <c r="A117" t="str">
        <f>_xlfn.TEXTJOIN("_",TRUE,C117,D117,B117,G117)</f>
        <v>SWPAC_CM_2019_2</v>
      </c>
      <c r="B117">
        <v>2019</v>
      </c>
      <c r="C117" t="s">
        <v>14</v>
      </c>
      <c r="D117" t="s">
        <v>9</v>
      </c>
      <c r="E117" t="str">
        <f>_xlfn.TEXTJOIN("_",TRUE,C117:D117)</f>
        <v>SWPAC_CM</v>
      </c>
      <c r="F117" t="s">
        <v>79</v>
      </c>
      <c r="G117">
        <v>2</v>
      </c>
      <c r="H117" t="s">
        <v>19</v>
      </c>
      <c r="I117">
        <v>192</v>
      </c>
      <c r="J117" s="3">
        <v>34.782608695652179</v>
      </c>
      <c r="K117" s="3">
        <v>59.859747545582046</v>
      </c>
      <c r="L117" s="3">
        <v>56.017299125288602</v>
      </c>
      <c r="M117" s="3">
        <v>33.674763437713395</v>
      </c>
      <c r="N117">
        <v>2.1227999999999998</v>
      </c>
      <c r="O117">
        <v>21.216100000000001</v>
      </c>
      <c r="P117">
        <v>0</v>
      </c>
      <c r="Q117">
        <v>0.99</v>
      </c>
      <c r="R117">
        <v>106.73</v>
      </c>
      <c r="S117">
        <f>R117/Q117</f>
        <v>107.80808080808082</v>
      </c>
      <c r="T117" t="s">
        <v>235</v>
      </c>
      <c r="U117">
        <v>30.928906287758</v>
      </c>
      <c r="V117">
        <v>28.401237252911901</v>
      </c>
      <c r="W117">
        <v>8</v>
      </c>
      <c r="X117">
        <v>1.6388297027692</v>
      </c>
      <c r="Y117" t="s">
        <v>235</v>
      </c>
      <c r="Z117">
        <v>41.083079599826</v>
      </c>
      <c r="AA117">
        <v>28.401237252911901</v>
      </c>
      <c r="AB117">
        <v>0</v>
      </c>
      <c r="AC117">
        <v>10.301580397274201</v>
      </c>
      <c r="AD117">
        <v>18.802861147358801</v>
      </c>
      <c r="AE117">
        <v>0</v>
      </c>
      <c r="AF117">
        <v>0</v>
      </c>
    </row>
    <row r="118" spans="1:32" x14ac:dyDescent="0.25">
      <c r="A118" t="str">
        <f>_xlfn.TEXTJOIN("_",TRUE,C118,D118,B118,G118)</f>
        <v>SWPAC_CM_2019_3</v>
      </c>
      <c r="B118">
        <v>2019</v>
      </c>
      <c r="C118" t="s">
        <v>14</v>
      </c>
      <c r="D118" t="s">
        <v>9</v>
      </c>
      <c r="E118" t="str">
        <f>_xlfn.TEXTJOIN("_",TRUE,C118:D118)</f>
        <v>SWPAC_CM</v>
      </c>
      <c r="F118" t="s">
        <v>80</v>
      </c>
      <c r="G118">
        <v>3</v>
      </c>
      <c r="H118" t="s">
        <v>20</v>
      </c>
      <c r="I118">
        <v>204</v>
      </c>
      <c r="J118" s="3">
        <v>34.782608695652179</v>
      </c>
      <c r="K118" s="3">
        <v>59.859747545582046</v>
      </c>
      <c r="L118" s="3">
        <v>56.017299125288602</v>
      </c>
      <c r="M118" s="3">
        <v>33.674763437713395</v>
      </c>
      <c r="N118">
        <v>2.5457999999999998</v>
      </c>
      <c r="O118">
        <v>20.8584</v>
      </c>
      <c r="P118">
        <v>0</v>
      </c>
      <c r="Q118">
        <v>1</v>
      </c>
      <c r="R118">
        <v>74.59</v>
      </c>
      <c r="S118">
        <f>R118/Q118</f>
        <v>74.59</v>
      </c>
      <c r="T118" t="s">
        <v>236</v>
      </c>
      <c r="U118">
        <v>60.204013895957303</v>
      </c>
      <c r="V118">
        <v>16.219326001814402</v>
      </c>
      <c r="W118">
        <v>6</v>
      </c>
      <c r="X118">
        <v>1.38949926786079</v>
      </c>
      <c r="Y118" t="s">
        <v>236</v>
      </c>
      <c r="Z118">
        <v>60.204013895957303</v>
      </c>
      <c r="AA118">
        <v>25.751775717478399</v>
      </c>
      <c r="AB118">
        <v>8.9350120593897309</v>
      </c>
      <c r="AC118">
        <v>0.85854003938663104</v>
      </c>
      <c r="AD118">
        <v>2.4517071227845002</v>
      </c>
      <c r="AE118">
        <v>0</v>
      </c>
      <c r="AF118">
        <v>0</v>
      </c>
    </row>
    <row r="119" spans="1:32" x14ac:dyDescent="0.25">
      <c r="A119" t="str">
        <f>_xlfn.TEXTJOIN("_",TRUE,C119,D119,B119,G119)</f>
        <v>SWPAC_CM_2019_4</v>
      </c>
      <c r="B119">
        <v>2019</v>
      </c>
      <c r="C119" t="s">
        <v>14</v>
      </c>
      <c r="D119" t="s">
        <v>9</v>
      </c>
      <c r="E119" t="str">
        <f>_xlfn.TEXTJOIN("_",TRUE,C119:D119)</f>
        <v>SWPAC_CM</v>
      </c>
      <c r="F119" t="s">
        <v>81</v>
      </c>
      <c r="G119">
        <v>4</v>
      </c>
      <c r="H119" t="s">
        <v>21</v>
      </c>
      <c r="I119">
        <v>219</v>
      </c>
      <c r="J119" s="3">
        <v>34.782608695652179</v>
      </c>
      <c r="K119" s="3">
        <v>59.859747545582046</v>
      </c>
      <c r="L119" s="3">
        <v>56.017299125288602</v>
      </c>
      <c r="M119" s="3">
        <v>33.674763437713395</v>
      </c>
      <c r="N119">
        <v>0.99109999999999998</v>
      </c>
      <c r="O119">
        <v>0</v>
      </c>
      <c r="P119">
        <v>0.14280000000000001</v>
      </c>
      <c r="Q119">
        <v>1.03</v>
      </c>
      <c r="R119">
        <v>75.72</v>
      </c>
      <c r="S119">
        <f>R119/Q119</f>
        <v>73.514563106796118</v>
      </c>
      <c r="T119" t="s">
        <v>237</v>
      </c>
      <c r="U119">
        <v>0.57562122501925495</v>
      </c>
      <c r="V119">
        <v>0</v>
      </c>
      <c r="W119">
        <v>9</v>
      </c>
      <c r="X119">
        <v>1.43132949572831</v>
      </c>
      <c r="Y119" t="s">
        <v>237</v>
      </c>
      <c r="Z119">
        <v>0.57562122501925495</v>
      </c>
      <c r="AA119">
        <v>0</v>
      </c>
      <c r="AB119">
        <v>6.2791357574283504</v>
      </c>
      <c r="AC119">
        <v>0</v>
      </c>
      <c r="AD119">
        <v>91.021119623819402</v>
      </c>
      <c r="AE119">
        <v>0</v>
      </c>
      <c r="AF119">
        <v>0</v>
      </c>
    </row>
    <row r="120" spans="1:32" x14ac:dyDescent="0.25">
      <c r="A120" t="str">
        <f>_xlfn.TEXTJOIN("_",TRUE,C120,D120,B120,G120)</f>
        <v>SWPAC_CM_2019_5</v>
      </c>
      <c r="B120">
        <v>2019</v>
      </c>
      <c r="C120" t="s">
        <v>14</v>
      </c>
      <c r="D120" t="s">
        <v>9</v>
      </c>
      <c r="E120" t="str">
        <f>_xlfn.TEXTJOIN("_",TRUE,C120:D120)</f>
        <v>SWPAC_CM</v>
      </c>
      <c r="F120" t="s">
        <v>82</v>
      </c>
      <c r="G120">
        <v>5</v>
      </c>
      <c r="H120" t="s">
        <v>22</v>
      </c>
      <c r="I120">
        <v>232</v>
      </c>
      <c r="J120" s="3">
        <v>34.782608695652179</v>
      </c>
      <c r="K120" s="3">
        <v>59.859747545582046</v>
      </c>
      <c r="L120" s="3">
        <v>56.017299125288602</v>
      </c>
      <c r="M120" s="3">
        <v>33.674763437713395</v>
      </c>
      <c r="N120">
        <v>0.74139999999999995</v>
      </c>
      <c r="O120">
        <v>6.4774000000000003</v>
      </c>
      <c r="P120">
        <v>0.88649999999999995</v>
      </c>
      <c r="Q120">
        <v>1.01</v>
      </c>
      <c r="R120">
        <v>94.89</v>
      </c>
      <c r="S120">
        <f>R120/Q120</f>
        <v>93.950495049504951</v>
      </c>
      <c r="T120" t="s">
        <v>238</v>
      </c>
      <c r="U120">
        <v>0</v>
      </c>
      <c r="V120">
        <v>0</v>
      </c>
      <c r="W120">
        <v>11</v>
      </c>
      <c r="X120">
        <v>1.37765997982302</v>
      </c>
      <c r="Y120" t="s">
        <v>238</v>
      </c>
      <c r="Z120">
        <v>0</v>
      </c>
      <c r="AA120">
        <v>0.68182817929881701</v>
      </c>
      <c r="AB120">
        <v>25.157260370386702</v>
      </c>
      <c r="AC120">
        <v>0</v>
      </c>
      <c r="AD120">
        <v>71.772313377028993</v>
      </c>
      <c r="AE120">
        <v>0</v>
      </c>
      <c r="AF120">
        <v>0</v>
      </c>
    </row>
    <row r="121" spans="1:32" x14ac:dyDescent="0.25">
      <c r="A121" t="str">
        <f>_xlfn.TEXTJOIN("_",TRUE,C121,D121,B121,G121)</f>
        <v>SWPAC_CM_2019_6</v>
      </c>
      <c r="B121">
        <v>2019</v>
      </c>
      <c r="C121" t="s">
        <v>14</v>
      </c>
      <c r="D121" t="s">
        <v>9</v>
      </c>
      <c r="E121" t="str">
        <f>_xlfn.TEXTJOIN("_",TRUE,C121:D121)</f>
        <v>SWPAC_CM</v>
      </c>
      <c r="F121" t="s">
        <v>83</v>
      </c>
      <c r="G121">
        <v>6</v>
      </c>
      <c r="H121" t="s">
        <v>23</v>
      </c>
      <c r="I121">
        <v>246</v>
      </c>
      <c r="J121" s="3">
        <v>34.782608695652179</v>
      </c>
      <c r="K121" s="3">
        <v>59.859747545582046</v>
      </c>
      <c r="L121" s="3">
        <v>56.017299125288602</v>
      </c>
      <c r="M121" s="3">
        <v>33.674763437713395</v>
      </c>
      <c r="N121">
        <v>0</v>
      </c>
      <c r="O121">
        <v>7.9218999999999999</v>
      </c>
      <c r="P121">
        <v>3.6145999999999998</v>
      </c>
      <c r="Q121">
        <v>1.01</v>
      </c>
      <c r="R121">
        <v>69.319999999999993</v>
      </c>
      <c r="S121">
        <f>R121/Q121</f>
        <v>68.63366336633662</v>
      </c>
      <c r="T121" t="s">
        <v>239</v>
      </c>
      <c r="U121">
        <v>0</v>
      </c>
      <c r="V121">
        <v>0</v>
      </c>
      <c r="W121">
        <v>5</v>
      </c>
      <c r="X121">
        <v>1.23880387450063</v>
      </c>
      <c r="Y121" t="s">
        <v>239</v>
      </c>
      <c r="Z121">
        <v>0</v>
      </c>
      <c r="AA121">
        <v>0</v>
      </c>
      <c r="AB121">
        <v>58.063861453118697</v>
      </c>
      <c r="AC121">
        <v>0</v>
      </c>
      <c r="AD121">
        <v>39.649573805980197</v>
      </c>
      <c r="AE121">
        <v>0</v>
      </c>
      <c r="AF121">
        <v>0</v>
      </c>
    </row>
    <row r="122" spans="1:32" x14ac:dyDescent="0.25">
      <c r="A122" t="str">
        <f>_xlfn.TEXTJOIN("_",TRUE,C122,D122,B122,G122)</f>
        <v>SWPAC_CM_2020_1</v>
      </c>
      <c r="B122">
        <v>2020</v>
      </c>
      <c r="C122" t="s">
        <v>14</v>
      </c>
      <c r="D122" t="s">
        <v>9</v>
      </c>
      <c r="E122" t="str">
        <f>_xlfn.TEXTJOIN("_",TRUE,C122:D122)</f>
        <v>SWPAC_CM</v>
      </c>
      <c r="F122" t="s">
        <v>108</v>
      </c>
      <c r="G122">
        <v>1</v>
      </c>
      <c r="H122" t="s">
        <v>24</v>
      </c>
      <c r="I122">
        <v>176</v>
      </c>
      <c r="J122" s="3">
        <v>34.782608695652179</v>
      </c>
      <c r="K122" s="3">
        <v>59.859747545582046</v>
      </c>
      <c r="L122" s="3">
        <v>56.017299125288602</v>
      </c>
      <c r="M122" s="3">
        <v>33.674763437713395</v>
      </c>
      <c r="N122">
        <v>14.1304</v>
      </c>
      <c r="O122">
        <v>6.9157999999999999</v>
      </c>
      <c r="P122">
        <v>2.3372000000000002</v>
      </c>
      <c r="Q122">
        <v>1.03</v>
      </c>
      <c r="R122">
        <v>61.42</v>
      </c>
      <c r="S122">
        <f>R122/Q122</f>
        <v>59.631067961165051</v>
      </c>
      <c r="T122" t="s">
        <v>240</v>
      </c>
      <c r="U122">
        <v>28.015161017642399</v>
      </c>
      <c r="V122">
        <v>0</v>
      </c>
      <c r="W122">
        <v>8</v>
      </c>
      <c r="X122">
        <v>1.75300025469206</v>
      </c>
      <c r="Y122" t="s">
        <v>240</v>
      </c>
      <c r="Z122">
        <v>33.245166743925999</v>
      </c>
      <c r="AA122">
        <v>0</v>
      </c>
      <c r="AB122">
        <v>37.526245466692103</v>
      </c>
      <c r="AC122">
        <v>27.477981075995999</v>
      </c>
      <c r="AD122">
        <v>0</v>
      </c>
      <c r="AE122">
        <v>0</v>
      </c>
      <c r="AF122">
        <v>0</v>
      </c>
    </row>
    <row r="123" spans="1:32" x14ac:dyDescent="0.25">
      <c r="A123" t="str">
        <f>_xlfn.TEXTJOIN("_",TRUE,C123,D123,B123,G123)</f>
        <v>SWPAC_CM_2020_2</v>
      </c>
      <c r="B123">
        <v>2020</v>
      </c>
      <c r="C123" t="s">
        <v>14</v>
      </c>
      <c r="D123" t="s">
        <v>9</v>
      </c>
      <c r="E123" t="str">
        <f>_xlfn.TEXTJOIN("_",TRUE,C123:D123)</f>
        <v>SWPAC_CM</v>
      </c>
      <c r="F123" t="s">
        <v>109</v>
      </c>
      <c r="G123">
        <v>2</v>
      </c>
      <c r="H123" t="s">
        <v>19</v>
      </c>
      <c r="I123">
        <v>190</v>
      </c>
      <c r="J123" s="3">
        <v>34.782608695652179</v>
      </c>
      <c r="K123" s="3">
        <v>59.859747545582046</v>
      </c>
      <c r="L123" s="3">
        <v>56.017299125288602</v>
      </c>
      <c r="M123" s="3">
        <v>33.674763437713395</v>
      </c>
      <c r="N123">
        <v>3.7454999999999998</v>
      </c>
      <c r="O123">
        <v>8.2637</v>
      </c>
      <c r="P123">
        <v>0.36449999999999999</v>
      </c>
      <c r="Q123">
        <v>1.02</v>
      </c>
      <c r="R123">
        <v>79.41</v>
      </c>
      <c r="S123">
        <f>R123/Q123</f>
        <v>77.85294117647058</v>
      </c>
      <c r="T123" t="s">
        <v>241</v>
      </c>
      <c r="U123">
        <v>44.4110260146972</v>
      </c>
      <c r="V123">
        <v>32.966419645902398</v>
      </c>
      <c r="W123">
        <v>4</v>
      </c>
      <c r="X123">
        <v>0.86811486753867595</v>
      </c>
      <c r="Y123" t="s">
        <v>241</v>
      </c>
      <c r="Z123">
        <v>62.199621717156099</v>
      </c>
      <c r="AA123">
        <v>32.966419645902398</v>
      </c>
      <c r="AB123">
        <v>1.50382933862516</v>
      </c>
      <c r="AC123">
        <v>1.54723884530712</v>
      </c>
      <c r="AD123">
        <v>0</v>
      </c>
      <c r="AE123">
        <v>0</v>
      </c>
      <c r="AF123">
        <v>0</v>
      </c>
    </row>
    <row r="124" spans="1:32" x14ac:dyDescent="0.25">
      <c r="A124" t="str">
        <f>_xlfn.TEXTJOIN("_",TRUE,C124,D124,B124,G124)</f>
        <v>SWPAC_CM_2020_3</v>
      </c>
      <c r="B124">
        <v>2020</v>
      </c>
      <c r="C124" t="s">
        <v>14</v>
      </c>
      <c r="D124" t="s">
        <v>9</v>
      </c>
      <c r="E124" t="str">
        <f>_xlfn.TEXTJOIN("_",TRUE,C124:D124)</f>
        <v>SWPAC_CM</v>
      </c>
      <c r="F124" t="s">
        <v>110</v>
      </c>
      <c r="G124">
        <v>3</v>
      </c>
      <c r="H124" t="s">
        <v>20</v>
      </c>
      <c r="I124">
        <v>204</v>
      </c>
      <c r="J124" s="3">
        <v>34.782608695652179</v>
      </c>
      <c r="K124" s="3">
        <v>59.859747545582046</v>
      </c>
      <c r="L124" s="3">
        <v>56.017299125288602</v>
      </c>
      <c r="M124" s="3">
        <v>33.674763437713395</v>
      </c>
      <c r="N124">
        <v>7.7892999999999999</v>
      </c>
      <c r="O124">
        <v>0</v>
      </c>
      <c r="P124">
        <v>2.5596999999999999</v>
      </c>
      <c r="Q124">
        <v>1.02</v>
      </c>
      <c r="R124">
        <v>90.51</v>
      </c>
      <c r="S124">
        <f>R124/Q124</f>
        <v>88.735294117647058</v>
      </c>
      <c r="T124" t="s">
        <v>242</v>
      </c>
      <c r="U124">
        <v>47.092514517540401</v>
      </c>
      <c r="V124">
        <v>22.665261315726699</v>
      </c>
      <c r="W124">
        <v>6</v>
      </c>
      <c r="X124">
        <v>1.25657439179087</v>
      </c>
      <c r="Y124" t="s">
        <v>242</v>
      </c>
      <c r="Z124">
        <v>53.325113356137102</v>
      </c>
      <c r="AA124">
        <v>22.665261315726699</v>
      </c>
      <c r="AB124">
        <v>0.67417071036512599</v>
      </c>
      <c r="AC124">
        <v>1.1037308090048501</v>
      </c>
      <c r="AD124">
        <v>0</v>
      </c>
      <c r="AE124">
        <v>20.825709967385301</v>
      </c>
      <c r="AF124">
        <v>0</v>
      </c>
    </row>
    <row r="125" spans="1:32" x14ac:dyDescent="0.25">
      <c r="A125" t="str">
        <f>_xlfn.TEXTJOIN("_",TRUE,C125,D125,B125,G125)</f>
        <v>SWPAC_CM_2020_4</v>
      </c>
      <c r="B125">
        <v>2020</v>
      </c>
      <c r="C125" t="s">
        <v>14</v>
      </c>
      <c r="D125" t="s">
        <v>9</v>
      </c>
      <c r="E125" t="str">
        <f>_xlfn.TEXTJOIN("_",TRUE,C125:D125)</f>
        <v>SWPAC_CM</v>
      </c>
      <c r="F125" t="s">
        <v>111</v>
      </c>
      <c r="G125">
        <v>4</v>
      </c>
      <c r="H125" t="s">
        <v>21</v>
      </c>
      <c r="I125">
        <v>219</v>
      </c>
      <c r="J125" s="3">
        <v>34.782608695652179</v>
      </c>
      <c r="K125" s="3">
        <v>59.859747545582046</v>
      </c>
      <c r="L125" s="3">
        <v>56.017299125288602</v>
      </c>
      <c r="M125" s="3">
        <v>33.674763437713395</v>
      </c>
      <c r="N125">
        <v>2.4573999999999998</v>
      </c>
      <c r="O125">
        <v>21.578399999999998</v>
      </c>
      <c r="P125">
        <v>4.1582999999999997</v>
      </c>
      <c r="Q125">
        <v>1.01</v>
      </c>
      <c r="R125">
        <v>69.37</v>
      </c>
      <c r="S125">
        <f>R125/Q125</f>
        <v>68.683168316831683</v>
      </c>
      <c r="T125" t="s">
        <v>243</v>
      </c>
      <c r="U125">
        <v>44.672546634225498</v>
      </c>
      <c r="V125">
        <v>4.1489253852392496</v>
      </c>
      <c r="W125">
        <v>7</v>
      </c>
      <c r="X125">
        <v>1.4545050253666501</v>
      </c>
      <c r="Y125" t="s">
        <v>243</v>
      </c>
      <c r="Z125">
        <v>45.719282238442801</v>
      </c>
      <c r="AA125">
        <v>17.535989456609901</v>
      </c>
      <c r="AB125">
        <v>8.7819343065693403</v>
      </c>
      <c r="AC125">
        <v>0</v>
      </c>
      <c r="AD125">
        <v>26.0315287915653</v>
      </c>
      <c r="AE125">
        <v>1.1024939172749399</v>
      </c>
      <c r="AF125">
        <v>0</v>
      </c>
    </row>
    <row r="126" spans="1:32" x14ac:dyDescent="0.25">
      <c r="A126" t="str">
        <f>_xlfn.TEXTJOIN("_",TRUE,C126,D126,B126,G126)</f>
        <v>SWPAC_CM_2020_5</v>
      </c>
      <c r="B126">
        <v>2020</v>
      </c>
      <c r="C126" t="s">
        <v>14</v>
      </c>
      <c r="D126" t="s">
        <v>9</v>
      </c>
      <c r="E126" t="str">
        <f>_xlfn.TEXTJOIN("_",TRUE,C126:D126)</f>
        <v>SWPAC_CM</v>
      </c>
      <c r="F126" t="s">
        <v>112</v>
      </c>
      <c r="G126">
        <v>5</v>
      </c>
      <c r="H126" t="s">
        <v>22</v>
      </c>
      <c r="I126">
        <v>230</v>
      </c>
      <c r="J126" s="3">
        <v>34.782608695652179</v>
      </c>
      <c r="K126" s="3">
        <v>59.859747545582046</v>
      </c>
      <c r="L126" s="3">
        <v>56.017299125288602</v>
      </c>
      <c r="M126" s="3">
        <v>33.674763437713395</v>
      </c>
      <c r="N126">
        <v>3.4226000000000001</v>
      </c>
      <c r="O126">
        <v>89.179699999999997</v>
      </c>
      <c r="P126">
        <v>1.5047999999999999</v>
      </c>
      <c r="Q126">
        <v>1.02</v>
      </c>
      <c r="R126">
        <v>43.32</v>
      </c>
      <c r="S126">
        <f>R126/Q126</f>
        <v>42.470588235294116</v>
      </c>
      <c r="T126" t="s">
        <v>244</v>
      </c>
      <c r="U126">
        <v>42.414074259909697</v>
      </c>
      <c r="V126">
        <v>0</v>
      </c>
      <c r="W126">
        <v>9</v>
      </c>
      <c r="X126">
        <v>1.79335676505276</v>
      </c>
      <c r="Y126" t="s">
        <v>244</v>
      </c>
      <c r="Z126">
        <v>50.5958354239839</v>
      </c>
      <c r="AA126">
        <v>2.23908680381335</v>
      </c>
      <c r="AB126">
        <v>23.268941294530901</v>
      </c>
      <c r="AC126">
        <v>0</v>
      </c>
      <c r="AD126">
        <v>22.394004014049202</v>
      </c>
      <c r="AE126">
        <v>0</v>
      </c>
      <c r="AF126">
        <v>0</v>
      </c>
    </row>
    <row r="127" spans="1:32" x14ac:dyDescent="0.25">
      <c r="A127" t="str">
        <f>_xlfn.TEXTJOIN("_",TRUE,C127,D127,B127,G127)</f>
        <v>SWPAC_CM_2020_6</v>
      </c>
      <c r="B127">
        <v>2020</v>
      </c>
      <c r="C127" t="s">
        <v>14</v>
      </c>
      <c r="D127" t="s">
        <v>9</v>
      </c>
      <c r="E127" t="str">
        <f>_xlfn.TEXTJOIN("_",TRUE,C127:D127)</f>
        <v>SWPAC_CM</v>
      </c>
      <c r="F127" t="s">
        <v>113</v>
      </c>
      <c r="G127">
        <v>6</v>
      </c>
      <c r="H127" t="s">
        <v>23</v>
      </c>
      <c r="I127">
        <v>245</v>
      </c>
      <c r="J127" s="3">
        <v>34.782608695652179</v>
      </c>
      <c r="K127" s="3">
        <v>59.859747545582046</v>
      </c>
      <c r="L127" s="3">
        <v>56.017299125288602</v>
      </c>
      <c r="M127" s="3">
        <v>33.674763437713395</v>
      </c>
      <c r="N127">
        <v>0</v>
      </c>
      <c r="O127">
        <v>2.3052000000000001</v>
      </c>
      <c r="P127">
        <v>0.26179999999999998</v>
      </c>
      <c r="Q127">
        <v>1.03</v>
      </c>
      <c r="R127">
        <v>58.4</v>
      </c>
      <c r="S127">
        <f>R127/Q127</f>
        <v>56.699029126213588</v>
      </c>
      <c r="T127" t="s">
        <v>245</v>
      </c>
      <c r="U127">
        <v>0.78181489515545899</v>
      </c>
      <c r="V127">
        <v>15.9752349963847</v>
      </c>
      <c r="W127">
        <v>18</v>
      </c>
      <c r="X127">
        <v>2.34868750225586</v>
      </c>
      <c r="Y127" t="s">
        <v>245</v>
      </c>
      <c r="Z127">
        <v>13.4241684743312</v>
      </c>
      <c r="AA127">
        <v>15.9752349963847</v>
      </c>
      <c r="AB127">
        <v>26.1907989877079</v>
      </c>
      <c r="AC127">
        <v>0.51744396240057799</v>
      </c>
      <c r="AD127">
        <v>35.841467823571897</v>
      </c>
      <c r="AE127">
        <v>5.8975054229934898</v>
      </c>
      <c r="AF127">
        <v>0</v>
      </c>
    </row>
    <row r="128" spans="1:32" x14ac:dyDescent="0.25">
      <c r="A128" t="str">
        <f>_xlfn.TEXTJOIN("_",TRUE,C128,D128,B128,G128)</f>
        <v>SWPAC_IPM_2018_1</v>
      </c>
      <c r="B128">
        <v>2018</v>
      </c>
      <c r="C128" t="s">
        <v>14</v>
      </c>
      <c r="D128" t="s">
        <v>10</v>
      </c>
      <c r="E128" t="str">
        <f>_xlfn.TEXTJOIN("_",TRUE,C128:D128)</f>
        <v>SWPAC_IPM</v>
      </c>
      <c r="F128" t="s">
        <v>54</v>
      </c>
      <c r="G128">
        <v>1</v>
      </c>
      <c r="H128" t="s">
        <v>24</v>
      </c>
      <c r="I128">
        <v>180</v>
      </c>
      <c r="J128" s="3">
        <v>35.214827295703451</v>
      </c>
      <c r="K128" s="3">
        <v>45.352429092951411</v>
      </c>
      <c r="L128" s="3">
        <v>45.749992050116063</v>
      </c>
      <c r="M128" s="3">
        <v>36.528126689350337</v>
      </c>
      <c r="N128">
        <v>0</v>
      </c>
      <c r="O128">
        <v>2.9470999999999998</v>
      </c>
      <c r="P128">
        <v>0.3266</v>
      </c>
      <c r="Q128">
        <v>1.03</v>
      </c>
      <c r="R128">
        <v>53.26</v>
      </c>
      <c r="S128">
        <f>R128/Q128</f>
        <v>51.708737864077669</v>
      </c>
      <c r="T128" t="s">
        <v>246</v>
      </c>
      <c r="U128">
        <v>41.904561808966001</v>
      </c>
      <c r="V128">
        <v>0</v>
      </c>
      <c r="W128">
        <v>5</v>
      </c>
      <c r="X128">
        <v>0.85221813212711395</v>
      </c>
      <c r="Y128" t="s">
        <v>246</v>
      </c>
      <c r="Z128">
        <v>42.424560758463102</v>
      </c>
      <c r="AA128">
        <v>0</v>
      </c>
      <c r="AB128">
        <v>0</v>
      </c>
      <c r="AC128">
        <v>12.795125666412799</v>
      </c>
      <c r="AD128">
        <v>43.096882632560302</v>
      </c>
      <c r="AE128">
        <v>0</v>
      </c>
      <c r="AF128">
        <v>0</v>
      </c>
    </row>
    <row r="129" spans="1:32" x14ac:dyDescent="0.25">
      <c r="A129" t="str">
        <f>_xlfn.TEXTJOIN("_",TRUE,C129,D129,B129,G129)</f>
        <v>SWPAC_IPM_2018_2</v>
      </c>
      <c r="B129">
        <v>2018</v>
      </c>
      <c r="C129" t="s">
        <v>14</v>
      </c>
      <c r="D129" t="s">
        <v>10</v>
      </c>
      <c r="E129" t="str">
        <f>_xlfn.TEXTJOIN("_",TRUE,C129:D129)</f>
        <v>SWPAC_IPM</v>
      </c>
      <c r="F129" t="s">
        <v>55</v>
      </c>
      <c r="G129">
        <v>2</v>
      </c>
      <c r="H129" t="s">
        <v>19</v>
      </c>
      <c r="I129">
        <v>194</v>
      </c>
      <c r="J129" s="3">
        <v>35.214827295703451</v>
      </c>
      <c r="K129" s="3">
        <v>45.352429092951411</v>
      </c>
      <c r="L129" s="3">
        <v>45.749992050116063</v>
      </c>
      <c r="M129" s="3">
        <v>36.528126689350337</v>
      </c>
      <c r="N129">
        <v>0</v>
      </c>
      <c r="O129">
        <v>2.4716</v>
      </c>
      <c r="P129">
        <v>0</v>
      </c>
      <c r="Q129">
        <v>1.02</v>
      </c>
      <c r="R129">
        <v>117.24</v>
      </c>
      <c r="S129">
        <f>R129/Q129</f>
        <v>114.94117647058823</v>
      </c>
      <c r="T129" t="s">
        <v>247</v>
      </c>
      <c r="U129">
        <v>65.997365870629494</v>
      </c>
      <c r="V129">
        <v>14.365945180288801</v>
      </c>
      <c r="W129">
        <v>4</v>
      </c>
      <c r="X129">
        <v>0.92062514733810497</v>
      </c>
      <c r="Y129" t="s">
        <v>247</v>
      </c>
      <c r="Z129">
        <v>65.997365870629494</v>
      </c>
      <c r="AA129">
        <v>15.687979920976099</v>
      </c>
      <c r="AB129">
        <v>0</v>
      </c>
      <c r="AC129">
        <v>0.72065803533709405</v>
      </c>
      <c r="AD129">
        <v>16.525434258592</v>
      </c>
      <c r="AE129">
        <v>0</v>
      </c>
      <c r="AF129">
        <v>0</v>
      </c>
    </row>
    <row r="130" spans="1:32" x14ac:dyDescent="0.25">
      <c r="A130" t="str">
        <f>_xlfn.TEXTJOIN("_",TRUE,C130,D130,B130,G130)</f>
        <v>SWPAC_IPM_2018_3</v>
      </c>
      <c r="B130">
        <v>2018</v>
      </c>
      <c r="C130" t="s">
        <v>14</v>
      </c>
      <c r="D130" t="s">
        <v>10</v>
      </c>
      <c r="E130" t="str">
        <f>_xlfn.TEXTJOIN("_",TRUE,C130:D130)</f>
        <v>SWPAC_IPM</v>
      </c>
      <c r="F130" t="s">
        <v>56</v>
      </c>
      <c r="G130">
        <v>3</v>
      </c>
      <c r="H130" t="s">
        <v>20</v>
      </c>
      <c r="I130">
        <v>207</v>
      </c>
      <c r="J130" s="3">
        <v>35.214827295703451</v>
      </c>
      <c r="K130" s="3">
        <v>45.352429092951411</v>
      </c>
      <c r="L130" s="3">
        <v>45.749992050116063</v>
      </c>
      <c r="M130" s="3">
        <v>36.528126689350337</v>
      </c>
      <c r="N130">
        <v>0</v>
      </c>
      <c r="O130">
        <v>3.6987999999999999</v>
      </c>
      <c r="P130">
        <v>0</v>
      </c>
      <c r="Q130">
        <v>1.04</v>
      </c>
      <c r="R130">
        <v>83.21</v>
      </c>
      <c r="S130">
        <f>R130/Q130</f>
        <v>80.009615384615373</v>
      </c>
      <c r="T130" t="s">
        <v>248</v>
      </c>
      <c r="U130">
        <v>61.7510742046058</v>
      </c>
      <c r="V130">
        <v>0</v>
      </c>
      <c r="W130">
        <v>4</v>
      </c>
      <c r="X130">
        <v>1.12682126102328</v>
      </c>
      <c r="Y130" t="s">
        <v>248</v>
      </c>
      <c r="Z130">
        <v>61.7510742046058</v>
      </c>
      <c r="AA130">
        <v>11.077584125911301</v>
      </c>
      <c r="AB130">
        <v>9.4723120745425593</v>
      </c>
      <c r="AC130">
        <v>0.51899773089364198</v>
      </c>
      <c r="AD130">
        <v>16.6465504755468</v>
      </c>
      <c r="AE130">
        <v>0</v>
      </c>
      <c r="AF130">
        <v>0</v>
      </c>
    </row>
    <row r="131" spans="1:32" x14ac:dyDescent="0.25">
      <c r="A131" t="str">
        <f>_xlfn.TEXTJOIN("_",TRUE,C131,D131,B131,G131)</f>
        <v>SWPAC_IPM_2018_4</v>
      </c>
      <c r="B131">
        <v>2018</v>
      </c>
      <c r="C131" t="s">
        <v>14</v>
      </c>
      <c r="D131" t="s">
        <v>10</v>
      </c>
      <c r="E131" t="str">
        <f>_xlfn.TEXTJOIN("_",TRUE,C131:D131)</f>
        <v>SWPAC_IPM</v>
      </c>
      <c r="F131" t="s">
        <v>57</v>
      </c>
      <c r="G131">
        <v>4</v>
      </c>
      <c r="H131" t="s">
        <v>21</v>
      </c>
      <c r="I131">
        <v>219</v>
      </c>
      <c r="J131" s="3">
        <v>35.214827295703451</v>
      </c>
      <c r="K131" s="3">
        <v>45.352429092951411</v>
      </c>
      <c r="L131" s="3">
        <v>45.749992050116063</v>
      </c>
      <c r="M131" s="3">
        <v>36.528126689350337</v>
      </c>
      <c r="N131">
        <v>0</v>
      </c>
      <c r="O131">
        <v>0</v>
      </c>
      <c r="P131">
        <v>0</v>
      </c>
      <c r="Q131">
        <v>1.02</v>
      </c>
      <c r="R131">
        <v>71.83</v>
      </c>
      <c r="S131">
        <f>R131/Q131</f>
        <v>70.421568627450981</v>
      </c>
      <c r="T131" t="s">
        <v>249</v>
      </c>
      <c r="U131">
        <v>0</v>
      </c>
      <c r="V131">
        <v>1.12078187299426</v>
      </c>
      <c r="W131">
        <v>6</v>
      </c>
      <c r="X131">
        <v>1.01357360196049</v>
      </c>
      <c r="Y131" t="s">
        <v>249</v>
      </c>
      <c r="Z131">
        <v>0</v>
      </c>
      <c r="AA131">
        <v>1.12078187299426</v>
      </c>
      <c r="AB131">
        <v>18.5403092482739</v>
      </c>
      <c r="AC131">
        <v>0</v>
      </c>
      <c r="AD131">
        <v>78.855878634639694</v>
      </c>
      <c r="AE131">
        <v>0</v>
      </c>
      <c r="AF131">
        <v>0</v>
      </c>
    </row>
    <row r="132" spans="1:32" x14ac:dyDescent="0.25">
      <c r="A132" t="str">
        <f>_xlfn.TEXTJOIN("_",TRUE,C132,D132,B132,G132)</f>
        <v>SWPAC_IPM_2018_5</v>
      </c>
      <c r="B132">
        <v>2018</v>
      </c>
      <c r="C132" t="s">
        <v>14</v>
      </c>
      <c r="D132" t="s">
        <v>10</v>
      </c>
      <c r="E132" t="str">
        <f>_xlfn.TEXTJOIN("_",TRUE,C132:D132)</f>
        <v>SWPAC_IPM</v>
      </c>
      <c r="F132" t="s">
        <v>46</v>
      </c>
      <c r="G132">
        <v>5</v>
      </c>
      <c r="H132" t="s">
        <v>22</v>
      </c>
      <c r="I132">
        <v>233</v>
      </c>
      <c r="J132" s="3">
        <v>35.214827295703451</v>
      </c>
      <c r="K132" s="3">
        <v>45.352429092951411</v>
      </c>
      <c r="L132" s="3">
        <v>45.749992050116063</v>
      </c>
      <c r="M132" s="3">
        <v>36.528126689350337</v>
      </c>
      <c r="N132">
        <v>0</v>
      </c>
      <c r="O132">
        <v>0</v>
      </c>
      <c r="P132">
        <v>0</v>
      </c>
      <c r="Q132">
        <v>1.01</v>
      </c>
      <c r="R132">
        <v>64.319999999999993</v>
      </c>
      <c r="S132">
        <f>R132/Q132</f>
        <v>63.683168316831676</v>
      </c>
      <c r="T132" t="s">
        <v>250</v>
      </c>
      <c r="U132">
        <v>13.4623742185672</v>
      </c>
      <c r="V132">
        <v>11.366295590545899</v>
      </c>
      <c r="W132">
        <v>12</v>
      </c>
      <c r="X132">
        <v>1.66097775479383</v>
      </c>
      <c r="Y132" t="s">
        <v>250</v>
      </c>
      <c r="Z132">
        <v>13.4623742185672</v>
      </c>
      <c r="AA132">
        <v>11.366295590545899</v>
      </c>
      <c r="AB132">
        <v>25.664426837829701</v>
      </c>
      <c r="AC132">
        <v>0.66191956674355601</v>
      </c>
      <c r="AD132">
        <v>45.451810249724197</v>
      </c>
      <c r="AE132">
        <v>1.0162805469194001</v>
      </c>
      <c r="AF132">
        <v>0</v>
      </c>
    </row>
    <row r="133" spans="1:32" x14ac:dyDescent="0.25">
      <c r="A133" t="str">
        <f>_xlfn.TEXTJOIN("_",TRUE,C133,D133,B133,G133)</f>
        <v>SWPAC_IPM_2018_6</v>
      </c>
      <c r="B133">
        <v>2018</v>
      </c>
      <c r="C133" t="s">
        <v>14</v>
      </c>
      <c r="D133" t="s">
        <v>10</v>
      </c>
      <c r="E133" t="str">
        <f>_xlfn.TEXTJOIN("_",TRUE,C133:D133)</f>
        <v>SWPAC_IPM</v>
      </c>
      <c r="F133" t="s">
        <v>35</v>
      </c>
      <c r="G133">
        <v>6</v>
      </c>
      <c r="H133" t="s">
        <v>23</v>
      </c>
      <c r="I133">
        <v>250</v>
      </c>
      <c r="J133" s="3">
        <v>35.214827295703451</v>
      </c>
      <c r="K133" s="3">
        <v>45.352429092951411</v>
      </c>
      <c r="L133" s="3">
        <v>45.749992050116063</v>
      </c>
      <c r="M133" s="3">
        <v>36.528126689350337</v>
      </c>
      <c r="N133">
        <v>0</v>
      </c>
      <c r="O133">
        <v>0</v>
      </c>
      <c r="P133">
        <v>0</v>
      </c>
      <c r="Q133">
        <v>1.04</v>
      </c>
      <c r="R133">
        <v>70.209999999999994</v>
      </c>
      <c r="S133">
        <f>R133/Q133</f>
        <v>67.509615384615373</v>
      </c>
      <c r="T133" t="s">
        <v>251</v>
      </c>
      <c r="U133">
        <v>16.0504794502652</v>
      </c>
      <c r="V133">
        <v>5.4921223839260103</v>
      </c>
      <c r="W133">
        <v>9</v>
      </c>
      <c r="X133">
        <v>1.60782450577174</v>
      </c>
      <c r="Y133" t="s">
        <v>251</v>
      </c>
      <c r="Z133">
        <v>16.0504794502652</v>
      </c>
      <c r="AA133">
        <v>5.4921223839260103</v>
      </c>
      <c r="AB133">
        <v>26.292686750450699</v>
      </c>
      <c r="AC133">
        <v>0</v>
      </c>
      <c r="AD133">
        <v>50.662346824131902</v>
      </c>
      <c r="AE133">
        <v>0</v>
      </c>
      <c r="AF133">
        <v>0</v>
      </c>
    </row>
    <row r="134" spans="1:32" x14ac:dyDescent="0.25">
      <c r="A134" t="str">
        <f>_xlfn.TEXTJOIN("_",TRUE,C134,D134,B134,G134)</f>
        <v>SWPAC_IPM_2019_1</v>
      </c>
      <c r="B134">
        <v>2019</v>
      </c>
      <c r="C134" t="s">
        <v>14</v>
      </c>
      <c r="D134" t="s">
        <v>10</v>
      </c>
      <c r="E134" t="str">
        <f>_xlfn.TEXTJOIN("_",TRUE,C134:D134)</f>
        <v>SWPAC_IPM</v>
      </c>
      <c r="F134" t="s">
        <v>78</v>
      </c>
      <c r="G134">
        <v>1</v>
      </c>
      <c r="H134" t="s">
        <v>24</v>
      </c>
      <c r="I134">
        <v>178</v>
      </c>
      <c r="J134" s="3">
        <v>35.214827295703451</v>
      </c>
      <c r="K134" s="3">
        <v>45.352429092951411</v>
      </c>
      <c r="L134" s="3">
        <v>45.749992050116063</v>
      </c>
      <c r="M134" s="3">
        <v>36.528126689350337</v>
      </c>
      <c r="N134">
        <v>0</v>
      </c>
      <c r="O134">
        <v>6.7968000000000002</v>
      </c>
      <c r="P134">
        <v>0</v>
      </c>
      <c r="Q134">
        <v>1</v>
      </c>
      <c r="R134">
        <v>134.62</v>
      </c>
      <c r="S134">
        <f>R134/Q134</f>
        <v>134.62</v>
      </c>
      <c r="T134" t="s">
        <v>252</v>
      </c>
      <c r="U134">
        <v>5.9585178731334301</v>
      </c>
      <c r="V134">
        <v>0</v>
      </c>
      <c r="W134">
        <v>8</v>
      </c>
      <c r="X134">
        <v>1.52138574076275</v>
      </c>
      <c r="Y134" t="s">
        <v>252</v>
      </c>
      <c r="Z134">
        <v>70.640625378155306</v>
      </c>
      <c r="AA134">
        <v>0</v>
      </c>
      <c r="AB134">
        <v>17.740022749824501</v>
      </c>
      <c r="AC134">
        <v>5.6826157457828099</v>
      </c>
      <c r="AD134">
        <v>9.1701154432585508</v>
      </c>
      <c r="AE134">
        <v>0</v>
      </c>
      <c r="AF134">
        <v>0</v>
      </c>
    </row>
    <row r="135" spans="1:32" x14ac:dyDescent="0.25">
      <c r="A135" t="str">
        <f>_xlfn.TEXTJOIN("_",TRUE,C135,D135,B135,G135)</f>
        <v>SWPAC_IPM_2019_2</v>
      </c>
      <c r="B135">
        <v>2019</v>
      </c>
      <c r="C135" t="s">
        <v>14</v>
      </c>
      <c r="D135" t="s">
        <v>10</v>
      </c>
      <c r="E135" t="str">
        <f>_xlfn.TEXTJOIN("_",TRUE,C135:D135)</f>
        <v>SWPAC_IPM</v>
      </c>
      <c r="F135" t="s">
        <v>79</v>
      </c>
      <c r="G135">
        <v>2</v>
      </c>
      <c r="H135" t="s">
        <v>19</v>
      </c>
      <c r="I135">
        <v>192</v>
      </c>
      <c r="J135" s="3">
        <v>35.214827295703451</v>
      </c>
      <c r="K135" s="3">
        <v>45.352429092951411</v>
      </c>
      <c r="L135" s="3">
        <v>45.749992050116063</v>
      </c>
      <c r="M135" s="3">
        <v>36.528126689350337</v>
      </c>
      <c r="N135">
        <v>0</v>
      </c>
      <c r="O135">
        <v>0</v>
      </c>
      <c r="P135">
        <v>0.63200000000000001</v>
      </c>
      <c r="Q135">
        <v>1.05</v>
      </c>
      <c r="R135">
        <v>105.43</v>
      </c>
      <c r="S135">
        <f>R135/Q135</f>
        <v>100.40952380952382</v>
      </c>
      <c r="T135" t="s">
        <v>253</v>
      </c>
      <c r="U135">
        <v>41.7977687100502</v>
      </c>
      <c r="V135">
        <v>0</v>
      </c>
      <c r="W135">
        <v>8</v>
      </c>
      <c r="X135">
        <v>1.5320922185228101</v>
      </c>
      <c r="Y135" t="s">
        <v>253</v>
      </c>
      <c r="Z135">
        <v>47.861877019600399</v>
      </c>
      <c r="AA135">
        <v>1.60860438238555</v>
      </c>
      <c r="AB135">
        <v>0</v>
      </c>
      <c r="AC135">
        <v>0.86562728494940699</v>
      </c>
      <c r="AD135">
        <v>47.357124324834302</v>
      </c>
      <c r="AE135">
        <v>0</v>
      </c>
      <c r="AF135">
        <v>0</v>
      </c>
    </row>
    <row r="136" spans="1:32" x14ac:dyDescent="0.25">
      <c r="A136" t="str">
        <f>_xlfn.TEXTJOIN("_",TRUE,C136,D136,B136,G136)</f>
        <v>SWPAC_IPM_2019_3</v>
      </c>
      <c r="B136">
        <v>2019</v>
      </c>
      <c r="C136" t="s">
        <v>14</v>
      </c>
      <c r="D136" t="s">
        <v>10</v>
      </c>
      <c r="E136" t="str">
        <f>_xlfn.TEXTJOIN("_",TRUE,C136:D136)</f>
        <v>SWPAC_IPM</v>
      </c>
      <c r="F136" t="s">
        <v>80</v>
      </c>
      <c r="G136">
        <v>3</v>
      </c>
      <c r="H136" t="s">
        <v>20</v>
      </c>
      <c r="I136">
        <v>204</v>
      </c>
      <c r="J136" s="3">
        <v>35.214827295703451</v>
      </c>
      <c r="K136" s="3">
        <v>45.352429092951411</v>
      </c>
      <c r="L136" s="3">
        <v>45.749992050116063</v>
      </c>
      <c r="M136" s="3">
        <v>36.528126689350337</v>
      </c>
      <c r="N136">
        <v>0</v>
      </c>
      <c r="O136">
        <v>0</v>
      </c>
      <c r="P136">
        <v>0</v>
      </c>
      <c r="Q136">
        <v>1.03</v>
      </c>
      <c r="R136">
        <v>81.41</v>
      </c>
      <c r="S136">
        <f>R136/Q136</f>
        <v>79.038834951456309</v>
      </c>
      <c r="T136" t="s">
        <v>254</v>
      </c>
      <c r="U136">
        <v>15.159799390303901</v>
      </c>
      <c r="V136">
        <v>10.801455403677799</v>
      </c>
      <c r="W136">
        <v>12</v>
      </c>
      <c r="X136">
        <v>1.84928886866882</v>
      </c>
      <c r="Y136" t="s">
        <v>254</v>
      </c>
      <c r="Z136">
        <v>15.159799390303901</v>
      </c>
      <c r="AA136">
        <v>10.801455403677799</v>
      </c>
      <c r="AB136">
        <v>22.497787393057301</v>
      </c>
      <c r="AC136">
        <v>0</v>
      </c>
      <c r="AD136">
        <v>46.041892024781198</v>
      </c>
      <c r="AE136">
        <v>2.4997541547841502</v>
      </c>
      <c r="AF136">
        <v>0</v>
      </c>
    </row>
    <row r="137" spans="1:32" x14ac:dyDescent="0.25">
      <c r="A137" t="str">
        <f>_xlfn.TEXTJOIN("_",TRUE,C137,D137,B137,G137)</f>
        <v>SWPAC_IPM_2019_4</v>
      </c>
      <c r="B137">
        <v>2019</v>
      </c>
      <c r="C137" t="s">
        <v>14</v>
      </c>
      <c r="D137" t="s">
        <v>10</v>
      </c>
      <c r="E137" t="str">
        <f>_xlfn.TEXTJOIN("_",TRUE,C137:D137)</f>
        <v>SWPAC_IPM</v>
      </c>
      <c r="F137" t="s">
        <v>81</v>
      </c>
      <c r="G137">
        <v>4</v>
      </c>
      <c r="H137" t="s">
        <v>21</v>
      </c>
      <c r="I137">
        <v>219</v>
      </c>
      <c r="J137" s="3">
        <v>35.214827295703451</v>
      </c>
      <c r="K137" s="3">
        <v>45.352429092951411</v>
      </c>
      <c r="L137" s="3">
        <v>45.749992050116063</v>
      </c>
      <c r="M137" s="3">
        <v>36.528126689350337</v>
      </c>
      <c r="N137">
        <v>0</v>
      </c>
      <c r="O137">
        <v>2.8475000000000001</v>
      </c>
      <c r="P137">
        <v>0</v>
      </c>
      <c r="Q137">
        <v>1.05</v>
      </c>
      <c r="R137">
        <v>153.85</v>
      </c>
      <c r="S137">
        <f>R137/Q137</f>
        <v>146.52380952380952</v>
      </c>
      <c r="T137" t="s">
        <v>255</v>
      </c>
      <c r="U137">
        <v>18.113783332122399</v>
      </c>
      <c r="V137">
        <v>16.619438591392399</v>
      </c>
      <c r="W137">
        <v>12</v>
      </c>
      <c r="X137">
        <v>1.54957808281737</v>
      </c>
      <c r="Y137" t="s">
        <v>255</v>
      </c>
      <c r="Z137">
        <v>18.113783332122399</v>
      </c>
      <c r="AA137">
        <v>16.619438591392399</v>
      </c>
      <c r="AB137">
        <v>15.599796555983399</v>
      </c>
      <c r="AC137">
        <v>0.61517595485480403</v>
      </c>
      <c r="AD137">
        <v>41.485625711448598</v>
      </c>
      <c r="AE137">
        <v>4.7688246264138101</v>
      </c>
      <c r="AF137">
        <v>0</v>
      </c>
    </row>
    <row r="138" spans="1:32" x14ac:dyDescent="0.25">
      <c r="A138" t="str">
        <f>_xlfn.TEXTJOIN("_",TRUE,C138,D138,B138,G138)</f>
        <v>SWPAC_IPM_2019_5</v>
      </c>
      <c r="B138">
        <v>2019</v>
      </c>
      <c r="C138" t="s">
        <v>14</v>
      </c>
      <c r="D138" t="s">
        <v>10</v>
      </c>
      <c r="E138" t="str">
        <f>_xlfn.TEXTJOIN("_",TRUE,C138:D138)</f>
        <v>SWPAC_IPM</v>
      </c>
      <c r="F138" t="s">
        <v>82</v>
      </c>
      <c r="G138">
        <v>5</v>
      </c>
      <c r="H138" t="s">
        <v>22</v>
      </c>
      <c r="I138">
        <v>232</v>
      </c>
      <c r="J138" s="3">
        <v>35.214827295703451</v>
      </c>
      <c r="K138" s="3">
        <v>45.352429092951411</v>
      </c>
      <c r="L138" s="3">
        <v>45.749992050116063</v>
      </c>
      <c r="M138" s="3">
        <v>36.528126689350337</v>
      </c>
      <c r="N138">
        <v>0</v>
      </c>
      <c r="O138">
        <v>3.1648999999999998</v>
      </c>
      <c r="P138">
        <v>0</v>
      </c>
      <c r="Q138">
        <v>1.02</v>
      </c>
      <c r="R138">
        <v>137.91999999999999</v>
      </c>
      <c r="S138">
        <f>R138/Q138</f>
        <v>135.21568627450978</v>
      </c>
      <c r="T138" t="s">
        <v>256</v>
      </c>
      <c r="U138">
        <v>42.0633100126161</v>
      </c>
      <c r="V138">
        <v>20.9771762816837</v>
      </c>
      <c r="W138">
        <v>5</v>
      </c>
      <c r="X138">
        <v>1.3552474991410901</v>
      </c>
      <c r="Y138" t="s">
        <v>256</v>
      </c>
      <c r="Z138">
        <v>48.336965248308303</v>
      </c>
      <c r="AA138">
        <v>20.9771762816837</v>
      </c>
      <c r="AB138">
        <v>8.8140841839660506</v>
      </c>
      <c r="AC138">
        <v>1.3361624039454101</v>
      </c>
      <c r="AD138">
        <v>19.4431700883129</v>
      </c>
      <c r="AE138">
        <v>0</v>
      </c>
      <c r="AF138">
        <v>0</v>
      </c>
    </row>
    <row r="139" spans="1:32" x14ac:dyDescent="0.25">
      <c r="A139" t="str">
        <f>_xlfn.TEXTJOIN("_",TRUE,C139,D139,B139,G139)</f>
        <v>SWPAC_IPM_2019_6</v>
      </c>
      <c r="B139">
        <v>2019</v>
      </c>
      <c r="C139" t="s">
        <v>14</v>
      </c>
      <c r="D139" t="s">
        <v>10</v>
      </c>
      <c r="E139" t="str">
        <f>_xlfn.TEXTJOIN("_",TRUE,C139:D139)</f>
        <v>SWPAC_IPM</v>
      </c>
      <c r="F139" t="s">
        <v>83</v>
      </c>
      <c r="G139">
        <v>6</v>
      </c>
      <c r="H139" t="s">
        <v>23</v>
      </c>
      <c r="I139">
        <v>246</v>
      </c>
      <c r="J139" s="3">
        <v>35.214827295703451</v>
      </c>
      <c r="K139" s="3">
        <v>45.352429092951411</v>
      </c>
      <c r="L139" s="3">
        <v>45.749992050116063</v>
      </c>
      <c r="M139" s="3">
        <v>36.528126689350337</v>
      </c>
      <c r="N139">
        <v>0</v>
      </c>
      <c r="O139">
        <v>0</v>
      </c>
      <c r="P139">
        <v>0</v>
      </c>
      <c r="Q139">
        <v>0.99</v>
      </c>
      <c r="R139">
        <v>63.62</v>
      </c>
      <c r="S139">
        <f>R139/Q139</f>
        <v>64.262626262626256</v>
      </c>
      <c r="T139" t="s">
        <v>257</v>
      </c>
      <c r="U139">
        <v>44.974073082260098</v>
      </c>
      <c r="V139">
        <v>0</v>
      </c>
      <c r="W139">
        <v>4</v>
      </c>
      <c r="X139">
        <v>1.05283289465093</v>
      </c>
      <c r="Y139" t="s">
        <v>257</v>
      </c>
      <c r="Z139">
        <v>45.799352435669597</v>
      </c>
      <c r="AA139">
        <v>7.3203982764077198</v>
      </c>
      <c r="AB139">
        <v>0</v>
      </c>
      <c r="AC139">
        <v>0</v>
      </c>
      <c r="AD139">
        <v>45.709277697981797</v>
      </c>
      <c r="AE139">
        <v>0</v>
      </c>
      <c r="AF139">
        <v>0</v>
      </c>
    </row>
    <row r="140" spans="1:32" x14ac:dyDescent="0.25">
      <c r="A140" t="str">
        <f>_xlfn.TEXTJOIN("_",TRUE,C140,D140,B140,G140)</f>
        <v>SWPAC_IPM_2020_1</v>
      </c>
      <c r="B140">
        <v>2020</v>
      </c>
      <c r="C140" t="s">
        <v>14</v>
      </c>
      <c r="D140" t="s">
        <v>10</v>
      </c>
      <c r="E140" t="str">
        <f>_xlfn.TEXTJOIN("_",TRUE,C140:D140)</f>
        <v>SWPAC_IPM</v>
      </c>
      <c r="F140" t="s">
        <v>108</v>
      </c>
      <c r="G140">
        <v>1</v>
      </c>
      <c r="H140" t="s">
        <v>24</v>
      </c>
      <c r="I140">
        <v>176</v>
      </c>
      <c r="J140" s="3">
        <v>35.214827295703451</v>
      </c>
      <c r="K140" s="3">
        <v>45.352429092951411</v>
      </c>
      <c r="L140" s="3">
        <v>45.749992050116063</v>
      </c>
      <c r="M140" s="3">
        <v>36.528126689350337</v>
      </c>
      <c r="N140">
        <v>0</v>
      </c>
      <c r="O140">
        <v>8.6287000000000003</v>
      </c>
      <c r="P140">
        <v>0</v>
      </c>
      <c r="Q140">
        <v>1</v>
      </c>
      <c r="R140">
        <v>62.82</v>
      </c>
      <c r="S140">
        <f>R140/Q140</f>
        <v>62.82</v>
      </c>
      <c r="T140" t="s">
        <v>258</v>
      </c>
      <c r="U140">
        <v>43.802793406226797</v>
      </c>
      <c r="V140">
        <v>20.8807873705282</v>
      </c>
      <c r="W140">
        <v>4</v>
      </c>
      <c r="X140">
        <v>1.1473610025485199</v>
      </c>
      <c r="Y140" t="s">
        <v>258</v>
      </c>
      <c r="Z140">
        <v>43.802793406226797</v>
      </c>
      <c r="AA140">
        <v>20.8807873705282</v>
      </c>
      <c r="AB140">
        <v>0</v>
      </c>
      <c r="AC140">
        <v>0</v>
      </c>
      <c r="AD140">
        <v>24.042704842207399</v>
      </c>
      <c r="AE140">
        <v>6.9349873371650403</v>
      </c>
      <c r="AF140">
        <v>0</v>
      </c>
    </row>
    <row r="141" spans="1:32" x14ac:dyDescent="0.25">
      <c r="A141" t="str">
        <f>_xlfn.TEXTJOIN("_",TRUE,C141,D141,B141,G141)</f>
        <v>SWPAC_IPM_2020_2</v>
      </c>
      <c r="B141">
        <v>2020</v>
      </c>
      <c r="C141" t="s">
        <v>14</v>
      </c>
      <c r="D141" t="s">
        <v>10</v>
      </c>
      <c r="E141" t="str">
        <f>_xlfn.TEXTJOIN("_",TRUE,C141:D141)</f>
        <v>SWPAC_IPM</v>
      </c>
      <c r="F141" t="s">
        <v>109</v>
      </c>
      <c r="G141">
        <v>2</v>
      </c>
      <c r="H141" t="s">
        <v>19</v>
      </c>
      <c r="I141">
        <v>190</v>
      </c>
      <c r="J141" s="3">
        <v>35.214827295703451</v>
      </c>
      <c r="K141" s="3">
        <v>45.352429092951411</v>
      </c>
      <c r="L141" s="3">
        <v>45.749992050116063</v>
      </c>
      <c r="M141" s="3">
        <v>36.528126689350337</v>
      </c>
      <c r="N141">
        <v>0</v>
      </c>
      <c r="O141">
        <v>0</v>
      </c>
      <c r="P141">
        <v>0.36919999999999997</v>
      </c>
      <c r="Q141">
        <v>0.99</v>
      </c>
      <c r="R141">
        <v>167.48</v>
      </c>
      <c r="S141">
        <f>R141/Q141</f>
        <v>169.17171717171718</v>
      </c>
      <c r="T141" t="s">
        <v>259</v>
      </c>
      <c r="U141">
        <v>61.777925753287803</v>
      </c>
      <c r="V141">
        <v>3.5421637718957499</v>
      </c>
      <c r="W141">
        <v>3</v>
      </c>
      <c r="X141">
        <v>0.38409811844067199</v>
      </c>
      <c r="Y141" t="s">
        <v>259</v>
      </c>
      <c r="Z141">
        <v>61.777925753287803</v>
      </c>
      <c r="AA141">
        <v>37.515491186208699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tr">
        <f>_xlfn.TEXTJOIN("_",TRUE,C142,D142,B142,G142)</f>
        <v>SWPAC_IPM_2020_3</v>
      </c>
      <c r="B142">
        <v>2020</v>
      </c>
      <c r="C142" t="s">
        <v>14</v>
      </c>
      <c r="D142" t="s">
        <v>10</v>
      </c>
      <c r="E142" t="str">
        <f>_xlfn.TEXTJOIN("_",TRUE,C142:D142)</f>
        <v>SWPAC_IPM</v>
      </c>
      <c r="F142" t="s">
        <v>110</v>
      </c>
      <c r="G142">
        <v>3</v>
      </c>
      <c r="H142" t="s">
        <v>20</v>
      </c>
      <c r="I142">
        <v>204</v>
      </c>
      <c r="J142" s="3">
        <v>35.214827295703451</v>
      </c>
      <c r="K142" s="3">
        <v>45.352429092951411</v>
      </c>
      <c r="L142" s="3">
        <v>45.749992050116063</v>
      </c>
      <c r="M142" s="3">
        <v>36.528126689350337</v>
      </c>
      <c r="N142">
        <v>0</v>
      </c>
      <c r="O142">
        <v>0</v>
      </c>
      <c r="P142">
        <v>0.41049999999999998</v>
      </c>
      <c r="Q142">
        <v>1.03</v>
      </c>
      <c r="R142">
        <v>114.62</v>
      </c>
      <c r="S142">
        <f>R142/Q142</f>
        <v>111.28155339805825</v>
      </c>
      <c r="T142" t="s">
        <v>260</v>
      </c>
      <c r="U142">
        <v>45.512593118127</v>
      </c>
      <c r="V142">
        <v>17.117041921415598</v>
      </c>
      <c r="W142">
        <v>6</v>
      </c>
      <c r="X142">
        <v>1.0689488976150301</v>
      </c>
      <c r="Y142" t="s">
        <v>260</v>
      </c>
      <c r="Z142">
        <v>45.512593118127</v>
      </c>
      <c r="AA142">
        <v>18.227156062850799</v>
      </c>
      <c r="AB142">
        <v>0.79711203388769503</v>
      </c>
      <c r="AC142">
        <v>0.69069131732153699</v>
      </c>
      <c r="AD142">
        <v>34.313377710076601</v>
      </c>
      <c r="AE142">
        <v>0</v>
      </c>
      <c r="AF142">
        <v>0</v>
      </c>
    </row>
    <row r="143" spans="1:32" x14ac:dyDescent="0.25">
      <c r="A143" t="str">
        <f>_xlfn.TEXTJOIN("_",TRUE,C143,D143,B143,G143)</f>
        <v>SWPAC_IPM_2020_4</v>
      </c>
      <c r="B143">
        <v>2020</v>
      </c>
      <c r="C143" t="s">
        <v>14</v>
      </c>
      <c r="D143" t="s">
        <v>10</v>
      </c>
      <c r="E143" t="str">
        <f>_xlfn.TEXTJOIN("_",TRUE,C143:D143)</f>
        <v>SWPAC_IPM</v>
      </c>
      <c r="F143" t="s">
        <v>111</v>
      </c>
      <c r="G143">
        <v>4</v>
      </c>
      <c r="H143" t="s">
        <v>21</v>
      </c>
      <c r="I143">
        <v>219</v>
      </c>
      <c r="J143" s="3">
        <v>35.214827295703451</v>
      </c>
      <c r="K143" s="3">
        <v>45.352429092951411</v>
      </c>
      <c r="L143" s="3">
        <v>45.749992050116063</v>
      </c>
      <c r="M143" s="3">
        <v>36.528126689350337</v>
      </c>
      <c r="N143">
        <v>0</v>
      </c>
      <c r="O143">
        <v>0</v>
      </c>
      <c r="P143">
        <v>0</v>
      </c>
      <c r="Q143">
        <v>1.01</v>
      </c>
      <c r="R143">
        <v>97.35</v>
      </c>
      <c r="S143">
        <f>R143/Q143</f>
        <v>96.386138613861377</v>
      </c>
      <c r="T143" t="s">
        <v>261</v>
      </c>
      <c r="U143">
        <v>50.443417616163899</v>
      </c>
      <c r="V143">
        <v>5.1660304795798302</v>
      </c>
      <c r="W143">
        <v>7</v>
      </c>
      <c r="X143">
        <v>1.23108574631497</v>
      </c>
      <c r="Y143" t="s">
        <v>261</v>
      </c>
      <c r="Z143">
        <v>50.443417616163899</v>
      </c>
      <c r="AA143">
        <v>31.650546738225799</v>
      </c>
      <c r="AB143">
        <v>1.24271733203226</v>
      </c>
      <c r="AC143">
        <v>0</v>
      </c>
      <c r="AD143">
        <v>16.163935367218699</v>
      </c>
      <c r="AE143">
        <v>0</v>
      </c>
      <c r="AF143">
        <v>0</v>
      </c>
    </row>
    <row r="144" spans="1:32" x14ac:dyDescent="0.25">
      <c r="A144" t="str">
        <f>_xlfn.TEXTJOIN("_",TRUE,C144,D144,B144,G144)</f>
        <v>SWPAC_IPM_2020_5</v>
      </c>
      <c r="B144">
        <v>2020</v>
      </c>
      <c r="C144" t="s">
        <v>14</v>
      </c>
      <c r="D144" t="s">
        <v>10</v>
      </c>
      <c r="E144" t="str">
        <f>_xlfn.TEXTJOIN("_",TRUE,C144:D144)</f>
        <v>SWPAC_IPM</v>
      </c>
      <c r="F144" t="s">
        <v>112</v>
      </c>
      <c r="G144">
        <v>5</v>
      </c>
      <c r="H144" t="s">
        <v>22</v>
      </c>
      <c r="I144">
        <v>230</v>
      </c>
      <c r="J144" s="3">
        <v>35.214827295703451</v>
      </c>
      <c r="K144" s="3">
        <v>45.352429092951411</v>
      </c>
      <c r="L144" s="3">
        <v>45.749992050116063</v>
      </c>
      <c r="M144" s="3">
        <v>36.528126689350337</v>
      </c>
      <c r="N144">
        <v>0</v>
      </c>
      <c r="O144">
        <v>0</v>
      </c>
      <c r="P144">
        <v>0</v>
      </c>
      <c r="Q144">
        <v>0.98</v>
      </c>
      <c r="R144">
        <v>132.16</v>
      </c>
      <c r="S144">
        <f>R144/Q144</f>
        <v>134.85714285714286</v>
      </c>
      <c r="T144" t="s">
        <v>262</v>
      </c>
      <c r="U144">
        <v>38.621282540364803</v>
      </c>
      <c r="V144">
        <v>25.653493807592099</v>
      </c>
      <c r="W144">
        <v>11</v>
      </c>
      <c r="X144">
        <v>1.6710742191004899</v>
      </c>
      <c r="Y144" t="s">
        <v>262</v>
      </c>
      <c r="Z144">
        <v>43.344168927813399</v>
      </c>
      <c r="AA144">
        <v>39.529323267872002</v>
      </c>
      <c r="AB144">
        <v>0</v>
      </c>
      <c r="AC144">
        <v>0.85968352900088696</v>
      </c>
      <c r="AD144">
        <v>14.765064610590199</v>
      </c>
      <c r="AE144">
        <v>0</v>
      </c>
      <c r="AF144">
        <v>0</v>
      </c>
    </row>
    <row r="145" spans="1:32" x14ac:dyDescent="0.25">
      <c r="A145" t="str">
        <f>_xlfn.TEXTJOIN("_",TRUE,C145,D145,B145,G145)</f>
        <v>SWPAC_IPM_2020_6</v>
      </c>
      <c r="B145">
        <v>2020</v>
      </c>
      <c r="C145" t="s">
        <v>14</v>
      </c>
      <c r="D145" t="s">
        <v>10</v>
      </c>
      <c r="E145" t="str">
        <f>_xlfn.TEXTJOIN("_",TRUE,C145:D145)</f>
        <v>SWPAC_IPM</v>
      </c>
      <c r="F145" t="s">
        <v>113</v>
      </c>
      <c r="G145">
        <v>6</v>
      </c>
      <c r="H145" t="s">
        <v>23</v>
      </c>
      <c r="I145">
        <v>245</v>
      </c>
      <c r="J145" s="3">
        <v>35.214827295703451</v>
      </c>
      <c r="K145" s="3">
        <v>45.352429092951411</v>
      </c>
      <c r="L145" s="3">
        <v>45.749992050116063</v>
      </c>
      <c r="M145" s="3">
        <v>36.528126689350337</v>
      </c>
      <c r="N145">
        <v>0</v>
      </c>
      <c r="O145">
        <v>0</v>
      </c>
      <c r="P145">
        <v>0.122</v>
      </c>
      <c r="Q145">
        <v>1.03</v>
      </c>
      <c r="R145">
        <v>89.31</v>
      </c>
      <c r="S145">
        <f>R145/Q145</f>
        <v>86.708737864077676</v>
      </c>
      <c r="T145" t="s">
        <v>263</v>
      </c>
      <c r="U145">
        <v>40.649417189701502</v>
      </c>
      <c r="V145">
        <v>7.6726015114640704</v>
      </c>
      <c r="W145">
        <v>10</v>
      </c>
      <c r="X145">
        <v>1.8643275593700199</v>
      </c>
      <c r="Y145" t="s">
        <v>263</v>
      </c>
      <c r="Z145">
        <v>40.649417189701502</v>
      </c>
      <c r="AA145">
        <v>20.520046112463199</v>
      </c>
      <c r="AB145">
        <v>4.7009094402459297</v>
      </c>
      <c r="AC145">
        <v>0</v>
      </c>
      <c r="AD145">
        <v>32.189061099013699</v>
      </c>
      <c r="AE145">
        <v>0</v>
      </c>
      <c r="AF145">
        <v>0</v>
      </c>
    </row>
    <row r="146" spans="1:32" x14ac:dyDescent="0.25">
      <c r="A146" t="str">
        <f>_xlfn.TEXTJOIN("_",TRUE,C146,D146,B146,G146)</f>
        <v>TPAC_CM_2018_1</v>
      </c>
      <c r="B146">
        <v>2018</v>
      </c>
      <c r="C146" t="s">
        <v>12</v>
      </c>
      <c r="D146" t="s">
        <v>9</v>
      </c>
      <c r="E146" t="str">
        <f>_xlfn.TEXTJOIN("_",TRUE,C146:D146)</f>
        <v>TPAC_CM</v>
      </c>
      <c r="F146" t="s">
        <v>42</v>
      </c>
      <c r="G146">
        <v>1</v>
      </c>
      <c r="H146" t="s">
        <v>24</v>
      </c>
      <c r="I146">
        <v>175</v>
      </c>
      <c r="J146" s="3">
        <v>52.698145025295105</v>
      </c>
      <c r="K146" s="3">
        <v>37.071388420460934</v>
      </c>
      <c r="L146" s="3">
        <v>68.105816783106988</v>
      </c>
      <c r="M146" s="3">
        <v>23.278907292566139</v>
      </c>
      <c r="N146">
        <v>1.5785</v>
      </c>
      <c r="O146">
        <v>0</v>
      </c>
      <c r="P146">
        <v>1.0721000000000001</v>
      </c>
      <c r="Q146">
        <v>0.98</v>
      </c>
      <c r="R146">
        <v>63.79</v>
      </c>
      <c r="S146">
        <f>R146/Q146</f>
        <v>65.091836734693871</v>
      </c>
      <c r="T146" t="s">
        <v>264</v>
      </c>
      <c r="U146">
        <v>38.775307825799501</v>
      </c>
      <c r="V146">
        <v>6.2226262292372496</v>
      </c>
      <c r="W146">
        <v>6</v>
      </c>
      <c r="X146">
        <v>1.32597066137499</v>
      </c>
      <c r="Y146" t="s">
        <v>264</v>
      </c>
      <c r="Z146">
        <v>41.275927609288502</v>
      </c>
      <c r="AA146">
        <v>11.1197421700686</v>
      </c>
      <c r="AB146">
        <v>0</v>
      </c>
      <c r="AC146">
        <v>0</v>
      </c>
      <c r="AD146">
        <v>46.672175853235302</v>
      </c>
      <c r="AE146">
        <v>0</v>
      </c>
      <c r="AF146">
        <v>0</v>
      </c>
    </row>
    <row r="147" spans="1:32" x14ac:dyDescent="0.25">
      <c r="A147" t="str">
        <f>_xlfn.TEXTJOIN("_",TRUE,C147,D147,B147,G147)</f>
        <v>TPAC_CM_2018_2</v>
      </c>
      <c r="B147">
        <v>2018</v>
      </c>
      <c r="C147" t="s">
        <v>12</v>
      </c>
      <c r="D147" t="s">
        <v>9</v>
      </c>
      <c r="E147" t="str">
        <f>_xlfn.TEXTJOIN("_",TRUE,C147:D147)</f>
        <v>TPAC_CM</v>
      </c>
      <c r="F147" t="s">
        <v>43</v>
      </c>
      <c r="G147">
        <v>2</v>
      </c>
      <c r="H147" t="s">
        <v>19</v>
      </c>
      <c r="I147">
        <v>193</v>
      </c>
      <c r="J147" s="3">
        <v>52.698145025295105</v>
      </c>
      <c r="K147" s="3">
        <v>37.071388420460934</v>
      </c>
      <c r="L147" s="3">
        <v>68.105816783106988</v>
      </c>
      <c r="M147" s="3">
        <v>23.278907292566139</v>
      </c>
      <c r="N147">
        <v>0</v>
      </c>
      <c r="O147">
        <v>32.305500000000002</v>
      </c>
      <c r="P147">
        <v>0.92179999999999995</v>
      </c>
      <c r="Q147">
        <v>1.02</v>
      </c>
      <c r="R147">
        <v>41.14</v>
      </c>
      <c r="S147">
        <f>R147/Q147</f>
        <v>40.333333333333336</v>
      </c>
      <c r="T147" t="s">
        <v>265</v>
      </c>
      <c r="U147">
        <v>37.638590258951098</v>
      </c>
      <c r="V147">
        <v>3.2158549125923201</v>
      </c>
      <c r="W147">
        <v>9</v>
      </c>
      <c r="X147">
        <v>1.8031509450154499</v>
      </c>
      <c r="Y147" t="s">
        <v>265</v>
      </c>
      <c r="Z147">
        <v>59.706459755071499</v>
      </c>
      <c r="AA147">
        <v>3.2158549125923201</v>
      </c>
      <c r="AB147">
        <v>1.93138263064411</v>
      </c>
      <c r="AC147">
        <v>16.0007478732355</v>
      </c>
      <c r="AD147">
        <v>17.889127792839101</v>
      </c>
      <c r="AE147">
        <v>0</v>
      </c>
      <c r="AF147">
        <v>0</v>
      </c>
    </row>
    <row r="148" spans="1:32" x14ac:dyDescent="0.25">
      <c r="A148" t="str">
        <f>_xlfn.TEXTJOIN("_",TRUE,C148,D148,B148,G148)</f>
        <v>TPAC_CM_2018_3</v>
      </c>
      <c r="B148">
        <v>2018</v>
      </c>
      <c r="C148" t="s">
        <v>12</v>
      </c>
      <c r="D148" t="s">
        <v>9</v>
      </c>
      <c r="E148" t="str">
        <f>_xlfn.TEXTJOIN("_",TRUE,C148:D148)</f>
        <v>TPAC_CM</v>
      </c>
      <c r="F148" t="s">
        <v>44</v>
      </c>
      <c r="G148">
        <v>3</v>
      </c>
      <c r="H148" t="s">
        <v>20</v>
      </c>
      <c r="I148">
        <v>208</v>
      </c>
      <c r="J148" s="3">
        <v>52.698145025295105</v>
      </c>
      <c r="K148" s="3">
        <v>37.071388420460934</v>
      </c>
      <c r="L148" s="3">
        <v>68.105816783106988</v>
      </c>
      <c r="M148" s="3">
        <v>23.278907292566139</v>
      </c>
      <c r="N148">
        <v>1.9582999999999999</v>
      </c>
      <c r="O148">
        <v>0</v>
      </c>
      <c r="P148">
        <v>0.79339999999999999</v>
      </c>
      <c r="Q148">
        <v>0.99</v>
      </c>
      <c r="R148">
        <v>127.96</v>
      </c>
      <c r="S148">
        <f>R148/Q148</f>
        <v>129.25252525252526</v>
      </c>
      <c r="T148" t="s">
        <v>266</v>
      </c>
      <c r="U148">
        <v>45.524558893657598</v>
      </c>
      <c r="V148">
        <v>18.562231759656701</v>
      </c>
      <c r="W148">
        <v>7</v>
      </c>
      <c r="X148">
        <v>1.2808448276265001</v>
      </c>
      <c r="Y148" t="s">
        <v>266</v>
      </c>
      <c r="Z148">
        <v>46.6642823080591</v>
      </c>
      <c r="AA148">
        <v>23.783977110157402</v>
      </c>
      <c r="AB148">
        <v>0</v>
      </c>
      <c r="AC148">
        <v>0</v>
      </c>
      <c r="AD148">
        <v>29.084406294706699</v>
      </c>
      <c r="AE148">
        <v>0</v>
      </c>
      <c r="AF148">
        <v>0</v>
      </c>
    </row>
    <row r="149" spans="1:32" x14ac:dyDescent="0.25">
      <c r="A149" t="str">
        <f>_xlfn.TEXTJOIN("_",TRUE,C149,D149,B149,G149)</f>
        <v>TPAC_CM_2018_4</v>
      </c>
      <c r="B149">
        <v>2018</v>
      </c>
      <c r="C149" t="s">
        <v>12</v>
      </c>
      <c r="D149" t="s">
        <v>9</v>
      </c>
      <c r="E149" t="str">
        <f>_xlfn.TEXTJOIN("_",TRUE,C149:D149)</f>
        <v>TPAC_CM</v>
      </c>
      <c r="F149" t="s">
        <v>45</v>
      </c>
      <c r="G149">
        <v>4</v>
      </c>
      <c r="H149" t="s">
        <v>21</v>
      </c>
      <c r="I149">
        <v>221</v>
      </c>
      <c r="J149" s="3">
        <v>52.698145025295105</v>
      </c>
      <c r="K149" s="3">
        <v>37.071388420460934</v>
      </c>
      <c r="L149" s="3">
        <v>68.105816783106988</v>
      </c>
      <c r="M149" s="3">
        <v>23.278907292566139</v>
      </c>
      <c r="N149">
        <v>2.7155</v>
      </c>
      <c r="O149">
        <v>0</v>
      </c>
      <c r="P149">
        <v>3.0718000000000001</v>
      </c>
      <c r="Q149">
        <v>1</v>
      </c>
      <c r="R149">
        <v>83.51</v>
      </c>
      <c r="S149">
        <f>R149/Q149</f>
        <v>83.51</v>
      </c>
      <c r="T149" t="s">
        <v>267</v>
      </c>
      <c r="U149">
        <v>35.264013278467402</v>
      </c>
      <c r="V149">
        <v>20.317092568899302</v>
      </c>
      <c r="W149">
        <v>9</v>
      </c>
      <c r="X149">
        <v>1.79481919855136</v>
      </c>
      <c r="Y149" t="s">
        <v>267</v>
      </c>
      <c r="Z149">
        <v>42.397731595145103</v>
      </c>
      <c r="AA149">
        <v>20.317092568899302</v>
      </c>
      <c r="AB149">
        <v>0</v>
      </c>
      <c r="AC149">
        <v>16.5150938829143</v>
      </c>
      <c r="AD149">
        <v>19.321207510633101</v>
      </c>
      <c r="AE149">
        <v>0</v>
      </c>
      <c r="AF149">
        <v>0</v>
      </c>
    </row>
    <row r="150" spans="1:32" x14ac:dyDescent="0.25">
      <c r="A150" t="str">
        <f>_xlfn.TEXTJOIN("_",TRUE,C150,D150,B150,G150)</f>
        <v>TPAC_CM_2018_5</v>
      </c>
      <c r="B150">
        <v>2018</v>
      </c>
      <c r="C150" t="s">
        <v>12</v>
      </c>
      <c r="D150" t="s">
        <v>9</v>
      </c>
      <c r="E150" t="str">
        <f>_xlfn.TEXTJOIN("_",TRUE,C150:D150)</f>
        <v>TPAC_CM</v>
      </c>
      <c r="F150" t="s">
        <v>46</v>
      </c>
      <c r="G150">
        <v>5</v>
      </c>
      <c r="H150" t="s">
        <v>22</v>
      </c>
      <c r="I150">
        <v>233</v>
      </c>
      <c r="J150" s="3">
        <v>52.698145025295105</v>
      </c>
      <c r="K150" s="3">
        <v>37.071388420460934</v>
      </c>
      <c r="L150" s="3">
        <v>68.105816783106988</v>
      </c>
      <c r="M150" s="3">
        <v>23.278907292566139</v>
      </c>
      <c r="N150">
        <v>2.0085000000000002</v>
      </c>
      <c r="O150">
        <v>13.0854</v>
      </c>
      <c r="P150">
        <v>0.92710000000000004</v>
      </c>
      <c r="Q150">
        <v>1.03</v>
      </c>
      <c r="R150">
        <v>40.26</v>
      </c>
      <c r="S150">
        <f>R150/Q150</f>
        <v>39.087378640776699</v>
      </c>
      <c r="T150" t="s">
        <v>268</v>
      </c>
      <c r="U150">
        <v>45.229704349294103</v>
      </c>
      <c r="V150">
        <v>23.025302298098602</v>
      </c>
      <c r="W150">
        <v>6</v>
      </c>
      <c r="X150">
        <v>1.1098591607198101</v>
      </c>
      <c r="Y150" t="s">
        <v>268</v>
      </c>
      <c r="Z150">
        <v>46.989680714119899</v>
      </c>
      <c r="AA150">
        <v>23.025302298098602</v>
      </c>
      <c r="AB150">
        <v>3.57270981492815</v>
      </c>
      <c r="AC150">
        <v>0.92008356722307805</v>
      </c>
      <c r="AD150">
        <v>24.544706354063401</v>
      </c>
      <c r="AE150">
        <v>0</v>
      </c>
      <c r="AF150">
        <v>0</v>
      </c>
    </row>
    <row r="151" spans="1:32" x14ac:dyDescent="0.25">
      <c r="A151" t="str">
        <f>_xlfn.TEXTJOIN("_",TRUE,C151,D151,B151,G151)</f>
        <v>TPAC_CM_2018_6</v>
      </c>
      <c r="B151">
        <v>2018</v>
      </c>
      <c r="C151" t="s">
        <v>12</v>
      </c>
      <c r="D151" t="s">
        <v>9</v>
      </c>
      <c r="E151" t="str">
        <f>_xlfn.TEXTJOIN("_",TRUE,C151:D151)</f>
        <v>TPAC_CM</v>
      </c>
      <c r="F151" t="s">
        <v>47</v>
      </c>
      <c r="G151">
        <v>6</v>
      </c>
      <c r="H151" t="s">
        <v>23</v>
      </c>
      <c r="I151">
        <v>247</v>
      </c>
      <c r="J151" s="3">
        <v>52.698145025295105</v>
      </c>
      <c r="K151" s="3">
        <v>37.071388420460934</v>
      </c>
      <c r="L151" s="3">
        <v>68.105816783106988</v>
      </c>
      <c r="M151" s="3">
        <v>23.278907292566139</v>
      </c>
      <c r="N151">
        <v>0</v>
      </c>
      <c r="O151">
        <v>0</v>
      </c>
      <c r="P151">
        <v>0.25530000000000003</v>
      </c>
      <c r="Q151">
        <v>1.04</v>
      </c>
      <c r="R151">
        <v>53.26</v>
      </c>
      <c r="S151">
        <f>R151/Q151</f>
        <v>51.21153846153846</v>
      </c>
      <c r="T151" t="s">
        <v>269</v>
      </c>
      <c r="U151">
        <v>39.5285032008942</v>
      </c>
      <c r="V151">
        <v>0</v>
      </c>
      <c r="W151">
        <v>10</v>
      </c>
      <c r="X151">
        <v>1.63947866609121</v>
      </c>
      <c r="Y151" t="s">
        <v>269</v>
      </c>
      <c r="Z151">
        <v>45.518748094705799</v>
      </c>
      <c r="AA151">
        <v>0.94502591200081298</v>
      </c>
      <c r="AB151">
        <v>13.5910984656031</v>
      </c>
      <c r="AC151">
        <v>0</v>
      </c>
      <c r="AD151">
        <v>39.210954171324097</v>
      </c>
      <c r="AE151">
        <v>0</v>
      </c>
      <c r="AF151">
        <v>0</v>
      </c>
    </row>
    <row r="152" spans="1:32" x14ac:dyDescent="0.25">
      <c r="A152" t="str">
        <f>_xlfn.TEXTJOIN("_",TRUE,C152,D152,B152,G152)</f>
        <v>TPAC_CM_2019_1</v>
      </c>
      <c r="B152">
        <v>2019</v>
      </c>
      <c r="C152" t="s">
        <v>12</v>
      </c>
      <c r="D152" t="s">
        <v>9</v>
      </c>
      <c r="E152" t="str">
        <f>_xlfn.TEXTJOIN("_",TRUE,C152:D152)</f>
        <v>TPAC_CM</v>
      </c>
      <c r="F152" t="s">
        <v>64</v>
      </c>
      <c r="G152">
        <v>1</v>
      </c>
      <c r="H152" t="s">
        <v>24</v>
      </c>
      <c r="I152">
        <v>177</v>
      </c>
      <c r="J152" s="3">
        <v>52.698145025295105</v>
      </c>
      <c r="K152" s="3">
        <v>37.071388420460934</v>
      </c>
      <c r="L152" s="3">
        <v>68.105816783106988</v>
      </c>
      <c r="M152" s="3">
        <v>23.278907292566139</v>
      </c>
      <c r="N152">
        <v>1.6109</v>
      </c>
      <c r="O152">
        <v>49.660200000000003</v>
      </c>
      <c r="P152">
        <v>0</v>
      </c>
      <c r="Q152">
        <v>1.03</v>
      </c>
      <c r="R152">
        <v>76.48</v>
      </c>
      <c r="S152">
        <f>R152/Q152</f>
        <v>74.252427184466015</v>
      </c>
      <c r="T152" t="s">
        <v>270</v>
      </c>
      <c r="U152">
        <v>24.054369756822801</v>
      </c>
      <c r="V152">
        <v>24.725496442603799</v>
      </c>
      <c r="W152">
        <v>11</v>
      </c>
      <c r="X152">
        <v>1.70522589939054</v>
      </c>
      <c r="Y152" t="s">
        <v>270</v>
      </c>
      <c r="Z152">
        <v>37.340979080386496</v>
      </c>
      <c r="AA152">
        <v>24.725496442603799</v>
      </c>
      <c r="AB152">
        <v>1.71816926834448</v>
      </c>
      <c r="AC152">
        <v>9.8693851545078104</v>
      </c>
      <c r="AD152">
        <v>25.320165657852801</v>
      </c>
      <c r="AE152">
        <v>0</v>
      </c>
      <c r="AF152">
        <v>0</v>
      </c>
    </row>
    <row r="153" spans="1:32" x14ac:dyDescent="0.25">
      <c r="A153" t="str">
        <f>_xlfn.TEXTJOIN("_",TRUE,C153,D153,B153,G153)</f>
        <v>TPAC_CM_2019_2</v>
      </c>
      <c r="B153">
        <v>2019</v>
      </c>
      <c r="C153" t="s">
        <v>12</v>
      </c>
      <c r="D153" t="s">
        <v>9</v>
      </c>
      <c r="E153" t="str">
        <f>_xlfn.TEXTJOIN("_",TRUE,C153:D153)</f>
        <v>TPAC_CM</v>
      </c>
      <c r="F153" t="s">
        <v>65</v>
      </c>
      <c r="G153">
        <v>2</v>
      </c>
      <c r="H153" t="s">
        <v>19</v>
      </c>
      <c r="I153">
        <v>190</v>
      </c>
      <c r="J153" s="3">
        <v>52.698145025295105</v>
      </c>
      <c r="K153" s="3">
        <v>37.071388420460934</v>
      </c>
      <c r="L153" s="3">
        <v>68.105816783106988</v>
      </c>
      <c r="M153" s="3">
        <v>23.278907292566139</v>
      </c>
      <c r="N153">
        <v>4.3898999999999999</v>
      </c>
      <c r="O153">
        <v>12.7858</v>
      </c>
      <c r="P153">
        <v>0</v>
      </c>
      <c r="Q153">
        <v>1.03</v>
      </c>
      <c r="R153">
        <v>89.34</v>
      </c>
      <c r="S153">
        <f>R153/Q153</f>
        <v>86.737864077669897</v>
      </c>
      <c r="T153" t="s">
        <v>271</v>
      </c>
      <c r="U153">
        <v>38.209854727404597</v>
      </c>
      <c r="V153">
        <v>6.2610442514090101</v>
      </c>
      <c r="W153">
        <v>7</v>
      </c>
      <c r="X153">
        <v>1.5403040400801</v>
      </c>
      <c r="Y153" t="s">
        <v>271</v>
      </c>
      <c r="Z153">
        <v>48.4514796971783</v>
      </c>
      <c r="AA153">
        <v>6.2610442514090101</v>
      </c>
      <c r="AB153">
        <v>11.5120626476442</v>
      </c>
      <c r="AC153">
        <v>0</v>
      </c>
      <c r="AD153">
        <v>32.672383326202997</v>
      </c>
      <c r="AE153">
        <v>0</v>
      </c>
      <c r="AF153">
        <v>0</v>
      </c>
    </row>
    <row r="154" spans="1:32" x14ac:dyDescent="0.25">
      <c r="A154" t="str">
        <f>_xlfn.TEXTJOIN("_",TRUE,C154,D154,B154,G154)</f>
        <v>TPAC_CM_2019_3</v>
      </c>
      <c r="B154">
        <v>2019</v>
      </c>
      <c r="C154" t="s">
        <v>12</v>
      </c>
      <c r="D154" t="s">
        <v>9</v>
      </c>
      <c r="E154" t="str">
        <f>_xlfn.TEXTJOIN("_",TRUE,C154:D154)</f>
        <v>TPAC_CM</v>
      </c>
      <c r="F154" t="s">
        <v>69</v>
      </c>
      <c r="G154">
        <v>3</v>
      </c>
      <c r="H154" t="s">
        <v>20</v>
      </c>
      <c r="I154">
        <v>205</v>
      </c>
      <c r="J154" s="3">
        <v>52.698145025295105</v>
      </c>
      <c r="K154" s="3">
        <v>37.071388420460934</v>
      </c>
      <c r="L154" s="3">
        <v>68.105816783106988</v>
      </c>
      <c r="M154" s="3">
        <v>23.278907292566139</v>
      </c>
      <c r="N154">
        <v>7.9143999999999997</v>
      </c>
      <c r="O154">
        <v>40.896299999999997</v>
      </c>
      <c r="P154">
        <v>0</v>
      </c>
      <c r="Q154">
        <v>1.04</v>
      </c>
      <c r="R154">
        <v>37.36</v>
      </c>
      <c r="S154">
        <f>R154/Q154</f>
        <v>35.92307692307692</v>
      </c>
      <c r="T154" t="s">
        <v>272</v>
      </c>
      <c r="U154">
        <v>51.472185469697301</v>
      </c>
      <c r="V154">
        <v>15.900787930251401</v>
      </c>
      <c r="W154">
        <v>5</v>
      </c>
      <c r="X154">
        <v>0.85467368528167198</v>
      </c>
      <c r="Y154" t="s">
        <v>272</v>
      </c>
      <c r="Z154">
        <v>52.311459546989497</v>
      </c>
      <c r="AA154">
        <v>15.900787930251401</v>
      </c>
      <c r="AB154">
        <v>0.74251071308675098</v>
      </c>
      <c r="AC154">
        <v>0.65562116155532302</v>
      </c>
      <c r="AD154">
        <v>29.921601927368201</v>
      </c>
      <c r="AE154">
        <v>0</v>
      </c>
      <c r="AF154">
        <v>0</v>
      </c>
    </row>
    <row r="155" spans="1:32" x14ac:dyDescent="0.25">
      <c r="A155" t="str">
        <f>_xlfn.TEXTJOIN("_",TRUE,C155,D155,B155,G155)</f>
        <v>TPAC_CM_2019_4</v>
      </c>
      <c r="B155">
        <v>2019</v>
      </c>
      <c r="C155" t="s">
        <v>12</v>
      </c>
      <c r="D155" t="s">
        <v>9</v>
      </c>
      <c r="E155" t="str">
        <f>_xlfn.TEXTJOIN("_",TRUE,C155:D155)</f>
        <v>TPAC_CM</v>
      </c>
      <c r="F155" t="s">
        <v>70</v>
      </c>
      <c r="G155">
        <v>4</v>
      </c>
      <c r="H155" t="s">
        <v>21</v>
      </c>
      <c r="I155">
        <v>218</v>
      </c>
      <c r="J155" s="3">
        <v>52.698145025295105</v>
      </c>
      <c r="K155" s="3">
        <v>37.071388420460934</v>
      </c>
      <c r="L155" s="3">
        <v>68.105816783106988</v>
      </c>
      <c r="M155" s="3">
        <v>23.278907292566139</v>
      </c>
      <c r="N155">
        <v>24.415900000000001</v>
      </c>
      <c r="O155">
        <v>11.123699999999999</v>
      </c>
      <c r="P155">
        <v>0</v>
      </c>
      <c r="Q155">
        <v>1.02</v>
      </c>
      <c r="R155">
        <v>48.07</v>
      </c>
      <c r="S155">
        <f>R155/Q155</f>
        <v>47.127450980392155</v>
      </c>
      <c r="T155" t="s">
        <v>273</v>
      </c>
      <c r="U155">
        <v>39.430510607695098</v>
      </c>
      <c r="V155">
        <v>0</v>
      </c>
      <c r="W155">
        <v>10</v>
      </c>
      <c r="X155">
        <v>1.6633640007992401</v>
      </c>
      <c r="Y155" t="s">
        <v>273</v>
      </c>
      <c r="Z155">
        <v>42.158845738942802</v>
      </c>
      <c r="AA155">
        <v>1.5304746494066901</v>
      </c>
      <c r="AB155">
        <v>10.369471413160699</v>
      </c>
      <c r="AC155">
        <v>0</v>
      </c>
      <c r="AD155">
        <v>44.770316432937797</v>
      </c>
      <c r="AE155">
        <v>0</v>
      </c>
      <c r="AF155">
        <v>0</v>
      </c>
    </row>
    <row r="156" spans="1:32" x14ac:dyDescent="0.25">
      <c r="A156" t="str">
        <f>_xlfn.TEXTJOIN("_",TRUE,C156,D156,B156,G156)</f>
        <v>TPAC_CM_2019_5</v>
      </c>
      <c r="B156">
        <v>2019</v>
      </c>
      <c r="C156" t="s">
        <v>12</v>
      </c>
      <c r="D156" t="s">
        <v>9</v>
      </c>
      <c r="E156" t="str">
        <f>_xlfn.TEXTJOIN("_",TRUE,C156:D156)</f>
        <v>TPAC_CM</v>
      </c>
      <c r="F156" t="s">
        <v>71</v>
      </c>
      <c r="G156">
        <v>5</v>
      </c>
      <c r="H156" t="s">
        <v>22</v>
      </c>
      <c r="I156">
        <v>233</v>
      </c>
      <c r="J156" s="3">
        <v>52.698145025295105</v>
      </c>
      <c r="K156" s="3">
        <v>37.071388420460934</v>
      </c>
      <c r="L156" s="3">
        <v>68.105816783106988</v>
      </c>
      <c r="M156" s="3">
        <v>23.278907292566139</v>
      </c>
      <c r="N156">
        <v>3.1114000000000002</v>
      </c>
      <c r="O156">
        <v>33.5518</v>
      </c>
      <c r="P156">
        <v>0</v>
      </c>
      <c r="Q156">
        <v>1.03</v>
      </c>
      <c r="R156">
        <v>54.28</v>
      </c>
      <c r="S156">
        <f>R156/Q156</f>
        <v>52.699029126213595</v>
      </c>
      <c r="T156" t="s">
        <v>274</v>
      </c>
      <c r="U156">
        <v>20.5605738575983</v>
      </c>
      <c r="V156">
        <v>12.4017003188098</v>
      </c>
      <c r="W156">
        <v>14</v>
      </c>
      <c r="X156">
        <v>2.1267599889702198</v>
      </c>
      <c r="Y156" t="s">
        <v>274</v>
      </c>
      <c r="Z156">
        <v>26.7507970244421</v>
      </c>
      <c r="AA156">
        <v>20.276301806588702</v>
      </c>
      <c r="AB156">
        <v>23.761955366631199</v>
      </c>
      <c r="AC156">
        <v>0.50212539851222104</v>
      </c>
      <c r="AD156">
        <v>28.004782146652499</v>
      </c>
      <c r="AE156">
        <v>0</v>
      </c>
      <c r="AF156">
        <v>0</v>
      </c>
    </row>
    <row r="157" spans="1:32" x14ac:dyDescent="0.25">
      <c r="A157" t="str">
        <f>_xlfn.TEXTJOIN("_",TRUE,C157,D157,B157,G157)</f>
        <v>TPAC_CM_2019_6</v>
      </c>
      <c r="B157">
        <v>2019</v>
      </c>
      <c r="C157" t="s">
        <v>12</v>
      </c>
      <c r="D157" t="s">
        <v>9</v>
      </c>
      <c r="E157" t="str">
        <f>_xlfn.TEXTJOIN("_",TRUE,C157:D157)</f>
        <v>TPAC_CM</v>
      </c>
      <c r="F157" t="s">
        <v>68</v>
      </c>
      <c r="G157">
        <v>6</v>
      </c>
      <c r="H157" t="s">
        <v>23</v>
      </c>
      <c r="I157">
        <v>247</v>
      </c>
      <c r="J157" s="3">
        <v>52.698145025295105</v>
      </c>
      <c r="K157" s="3">
        <v>37.071388420460934</v>
      </c>
      <c r="L157" s="3">
        <v>68.105816783106988</v>
      </c>
      <c r="M157" s="3">
        <v>23.278907292566139</v>
      </c>
      <c r="N157">
        <v>6.7259000000000002</v>
      </c>
      <c r="O157">
        <v>59.087000000000003</v>
      </c>
      <c r="P157" s="1">
        <v>0</v>
      </c>
      <c r="Q157" s="1">
        <v>1.05</v>
      </c>
      <c r="R157" s="1">
        <v>71.319999999999993</v>
      </c>
      <c r="S157">
        <f>R157/Q157</f>
        <v>67.92380952380951</v>
      </c>
      <c r="T157" t="s">
        <v>275</v>
      </c>
      <c r="U157">
        <v>12.0075697839457</v>
      </c>
      <c r="V157">
        <v>0</v>
      </c>
      <c r="W157">
        <v>15</v>
      </c>
      <c r="X157">
        <v>2.0327833553187999</v>
      </c>
      <c r="Y157" t="s">
        <v>275</v>
      </c>
      <c r="Z157">
        <v>23.090995111181201</v>
      </c>
      <c r="AA157">
        <v>0</v>
      </c>
      <c r="AB157">
        <v>14.098722598959201</v>
      </c>
      <c r="AC157">
        <v>0</v>
      </c>
      <c r="AD157">
        <v>44.497713294433098</v>
      </c>
      <c r="AE157">
        <v>14.947169216212</v>
      </c>
      <c r="AF157">
        <v>0</v>
      </c>
    </row>
    <row r="158" spans="1:32" x14ac:dyDescent="0.25">
      <c r="A158" t="str">
        <f>_xlfn.TEXTJOIN("_",TRUE,C158,D158,B158,G158)</f>
        <v>TPAC_CM_2020_1</v>
      </c>
      <c r="B158">
        <v>2020</v>
      </c>
      <c r="C158" t="s">
        <v>12</v>
      </c>
      <c r="D158" t="s">
        <v>9</v>
      </c>
      <c r="E158" t="str">
        <f>_xlfn.TEXTJOIN("_",TRUE,C158:D158)</f>
        <v>TPAC_CM</v>
      </c>
      <c r="F158" t="s">
        <v>96</v>
      </c>
      <c r="G158">
        <v>1</v>
      </c>
      <c r="H158" t="s">
        <v>24</v>
      </c>
      <c r="I158">
        <v>174</v>
      </c>
      <c r="J158" s="3">
        <v>52.698145025295105</v>
      </c>
      <c r="K158" s="3">
        <v>37.071388420460934</v>
      </c>
      <c r="L158" s="3">
        <v>68.105816783106988</v>
      </c>
      <c r="M158" s="3">
        <v>23.278907292566139</v>
      </c>
      <c r="N158">
        <v>7.8415999999999997</v>
      </c>
      <c r="O158">
        <v>20.034500000000001</v>
      </c>
      <c r="P158">
        <v>0.93669999999999998</v>
      </c>
      <c r="Q158">
        <v>1.03</v>
      </c>
      <c r="R158">
        <v>44.74</v>
      </c>
      <c r="S158">
        <f>R158/Q158</f>
        <v>43.436893203883493</v>
      </c>
      <c r="T158" t="s">
        <v>276</v>
      </c>
      <c r="U158">
        <v>23.384256312327601</v>
      </c>
      <c r="V158">
        <v>7.2077233184807996</v>
      </c>
      <c r="W158">
        <v>10</v>
      </c>
      <c r="X158">
        <v>1.9109061161211101</v>
      </c>
      <c r="Y158" t="s">
        <v>276</v>
      </c>
      <c r="Z158">
        <v>70.5983450031827</v>
      </c>
      <c r="AA158">
        <v>7.2077233184807996</v>
      </c>
      <c r="AB158">
        <v>0.64502440059410104</v>
      </c>
      <c r="AC158">
        <v>12.9492892000849</v>
      </c>
      <c r="AD158">
        <v>7.0464672183322703</v>
      </c>
      <c r="AE158">
        <v>0</v>
      </c>
      <c r="AF158">
        <v>0</v>
      </c>
    </row>
    <row r="159" spans="1:32" x14ac:dyDescent="0.25">
      <c r="A159" t="str">
        <f>_xlfn.TEXTJOIN("_",TRUE,C159,D159,B159,G159)</f>
        <v>TPAC_CM_2020_2</v>
      </c>
      <c r="B159">
        <v>2020</v>
      </c>
      <c r="C159" t="s">
        <v>12</v>
      </c>
      <c r="D159" t="s">
        <v>9</v>
      </c>
      <c r="E159" t="str">
        <f>_xlfn.TEXTJOIN("_",TRUE,C159:D159)</f>
        <v>TPAC_CM</v>
      </c>
      <c r="F159" t="s">
        <v>97</v>
      </c>
      <c r="G159">
        <v>2</v>
      </c>
      <c r="H159" t="s">
        <v>19</v>
      </c>
      <c r="I159">
        <v>188</v>
      </c>
      <c r="J159" s="3">
        <v>52.698145025295105</v>
      </c>
      <c r="K159" s="3">
        <v>37.071388420460934</v>
      </c>
      <c r="L159" s="3">
        <v>68.105816783106988</v>
      </c>
      <c r="M159" s="3">
        <v>23.278907292566139</v>
      </c>
      <c r="N159">
        <v>4.4619999999999997</v>
      </c>
      <c r="O159">
        <v>10.3474</v>
      </c>
      <c r="P159">
        <v>0.2117</v>
      </c>
      <c r="Q159">
        <v>0.92</v>
      </c>
      <c r="R159">
        <v>62.82</v>
      </c>
      <c r="S159">
        <f>R159/Q159</f>
        <v>68.282608695652172</v>
      </c>
      <c r="T159" t="s">
        <v>277</v>
      </c>
      <c r="U159">
        <v>31.961712422425599</v>
      </c>
      <c r="V159">
        <v>16.482591774482</v>
      </c>
      <c r="W159">
        <v>9</v>
      </c>
      <c r="X159">
        <v>1.71228154699657</v>
      </c>
      <c r="Y159" t="s">
        <v>277</v>
      </c>
      <c r="Z159">
        <v>57.9657094772273</v>
      </c>
      <c r="AA159">
        <v>16.482591774482</v>
      </c>
      <c r="AB159">
        <v>0</v>
      </c>
      <c r="AC159">
        <v>10.0725781003471</v>
      </c>
      <c r="AD159">
        <v>14.6986431050805</v>
      </c>
      <c r="AE159">
        <v>0</v>
      </c>
      <c r="AF159">
        <v>0</v>
      </c>
    </row>
    <row r="160" spans="1:32" x14ac:dyDescent="0.25">
      <c r="A160" t="str">
        <f>_xlfn.TEXTJOIN("_",TRUE,C160,D160,B160,G160)</f>
        <v>TPAC_CM_2020_3</v>
      </c>
      <c r="B160">
        <v>2020</v>
      </c>
      <c r="C160" t="s">
        <v>12</v>
      </c>
      <c r="D160" t="s">
        <v>9</v>
      </c>
      <c r="E160" t="str">
        <f>_xlfn.TEXTJOIN("_",TRUE,C160:D160)</f>
        <v>TPAC_CM</v>
      </c>
      <c r="F160" t="s">
        <v>98</v>
      </c>
      <c r="G160">
        <v>3</v>
      </c>
      <c r="H160" t="s">
        <v>20</v>
      </c>
      <c r="I160">
        <v>203</v>
      </c>
      <c r="J160" s="3">
        <v>52.698145025295105</v>
      </c>
      <c r="K160" s="3">
        <v>37.071388420460934</v>
      </c>
      <c r="L160" s="3">
        <v>68.105816783106988</v>
      </c>
      <c r="M160" s="3">
        <v>23.278907292566139</v>
      </c>
      <c r="N160">
        <v>4.8037000000000001</v>
      </c>
      <c r="O160">
        <v>20.419599999999999</v>
      </c>
      <c r="P160">
        <v>8.3199999999999996E-2</v>
      </c>
      <c r="Q160">
        <v>0.96</v>
      </c>
      <c r="R160">
        <v>66.209999999999994</v>
      </c>
      <c r="S160">
        <f>R160/Q160</f>
        <v>68.96875</v>
      </c>
      <c r="T160" t="s">
        <v>278</v>
      </c>
      <c r="U160">
        <v>21.558961112598599</v>
      </c>
      <c r="V160">
        <v>9.3509316281047692</v>
      </c>
      <c r="W160">
        <v>7</v>
      </c>
      <c r="X160">
        <v>1.24799385431639</v>
      </c>
      <c r="Y160" t="s">
        <v>278</v>
      </c>
      <c r="Z160">
        <v>62.906553684774202</v>
      </c>
      <c r="AA160">
        <v>28.506402482241601</v>
      </c>
      <c r="AB160">
        <v>5.8118473484430897</v>
      </c>
      <c r="AC160">
        <v>0.52133373234001701</v>
      </c>
      <c r="AD160">
        <v>0.52448378510340099</v>
      </c>
      <c r="AE160">
        <v>0</v>
      </c>
      <c r="AF160">
        <v>0</v>
      </c>
    </row>
    <row r="161" spans="1:32" x14ac:dyDescent="0.25">
      <c r="A161" t="str">
        <f>_xlfn.TEXTJOIN("_",TRUE,C161,D161,B161,G161)</f>
        <v>TPAC_CM_2020_4</v>
      </c>
      <c r="B161">
        <v>2020</v>
      </c>
      <c r="C161" t="s">
        <v>12</v>
      </c>
      <c r="D161" t="s">
        <v>9</v>
      </c>
      <c r="E161" t="str">
        <f>_xlfn.TEXTJOIN("_",TRUE,C161:D161)</f>
        <v>TPAC_CM</v>
      </c>
      <c r="F161" t="s">
        <v>99</v>
      </c>
      <c r="G161">
        <v>4</v>
      </c>
      <c r="H161" t="s">
        <v>21</v>
      </c>
      <c r="I161">
        <v>218</v>
      </c>
      <c r="J161" s="3">
        <v>52.698145025295105</v>
      </c>
      <c r="K161" s="3">
        <v>37.071388420460934</v>
      </c>
      <c r="L161" s="3">
        <v>68.105816783106988</v>
      </c>
      <c r="M161" s="3">
        <v>23.278907292566139</v>
      </c>
      <c r="N161">
        <v>1.4843999999999999</v>
      </c>
      <c r="O161">
        <v>8.6092999999999993</v>
      </c>
      <c r="P161">
        <v>0.39850000000000002</v>
      </c>
      <c r="Q161">
        <v>1.04</v>
      </c>
      <c r="R161">
        <v>42.26</v>
      </c>
      <c r="S161">
        <f>R161/Q161</f>
        <v>40.63461538461538</v>
      </c>
      <c r="T161" t="s">
        <v>279</v>
      </c>
      <c r="U161">
        <v>34.061331924303801</v>
      </c>
      <c r="V161">
        <v>15.0746589952837</v>
      </c>
      <c r="W161">
        <v>9</v>
      </c>
      <c r="X161">
        <v>1.5753121756463</v>
      </c>
      <c r="Y161" t="s">
        <v>279</v>
      </c>
      <c r="Z161">
        <v>66.762558954187</v>
      </c>
      <c r="AA161">
        <v>15.0746589952837</v>
      </c>
      <c r="AB161">
        <v>15.0883578935009</v>
      </c>
      <c r="AC161">
        <v>0.65363314350574397</v>
      </c>
      <c r="AD161">
        <v>1.71236227714828</v>
      </c>
      <c r="AE161">
        <v>0</v>
      </c>
      <c r="AF161">
        <v>0</v>
      </c>
    </row>
    <row r="162" spans="1:32" x14ac:dyDescent="0.25">
      <c r="A162" t="str">
        <f>_xlfn.TEXTJOIN("_",TRUE,C162,D162,B162,G162)</f>
        <v>TPAC_CM_2020_5</v>
      </c>
      <c r="B162">
        <v>2020</v>
      </c>
      <c r="C162" t="s">
        <v>12</v>
      </c>
      <c r="D162" t="s">
        <v>9</v>
      </c>
      <c r="E162" t="str">
        <f>_xlfn.TEXTJOIN("_",TRUE,C162:D162)</f>
        <v>TPAC_CM</v>
      </c>
      <c r="F162" t="s">
        <v>100</v>
      </c>
      <c r="G162">
        <v>5</v>
      </c>
      <c r="H162" t="s">
        <v>22</v>
      </c>
      <c r="I162">
        <v>231</v>
      </c>
      <c r="J162" s="3">
        <v>52.698145025295105</v>
      </c>
      <c r="K162" s="3">
        <v>37.071388420460934</v>
      </c>
      <c r="L162" s="3">
        <v>68.105816783106988</v>
      </c>
      <c r="M162" s="3">
        <v>23.278907292566139</v>
      </c>
      <c r="N162">
        <v>0</v>
      </c>
      <c r="O162">
        <v>3.1221999999999999</v>
      </c>
      <c r="P162">
        <v>0.79669999999999996</v>
      </c>
      <c r="Q162">
        <v>1.05</v>
      </c>
      <c r="R162">
        <v>73.180000000000007</v>
      </c>
      <c r="S162">
        <f>R162/Q162</f>
        <v>69.695238095238096</v>
      </c>
      <c r="T162" t="s">
        <v>280</v>
      </c>
      <c r="U162">
        <v>27.273063207878401</v>
      </c>
      <c r="V162">
        <v>0</v>
      </c>
      <c r="W162">
        <v>7</v>
      </c>
      <c r="X162">
        <v>0.98944056838850003</v>
      </c>
      <c r="Y162" t="s">
        <v>280</v>
      </c>
      <c r="Z162">
        <v>62.609241911941297</v>
      </c>
      <c r="AA162">
        <v>31.8810856752213</v>
      </c>
      <c r="AB162">
        <v>0.87947822552334498</v>
      </c>
      <c r="AC162">
        <v>0</v>
      </c>
      <c r="AD162">
        <v>2.4610609168006201</v>
      </c>
      <c r="AE162">
        <v>0.554292999279419</v>
      </c>
      <c r="AF162">
        <v>0</v>
      </c>
    </row>
    <row r="163" spans="1:32" x14ac:dyDescent="0.25">
      <c r="A163" t="str">
        <f>_xlfn.TEXTJOIN("_",TRUE,C163,D163,B163,G163)</f>
        <v>TPAC_CM_2020_6</v>
      </c>
      <c r="B163">
        <v>2020</v>
      </c>
      <c r="C163" t="s">
        <v>12</v>
      </c>
      <c r="D163" t="s">
        <v>9</v>
      </c>
      <c r="E163" t="str">
        <f>_xlfn.TEXTJOIN("_",TRUE,C163:D163)</f>
        <v>TPAC_CM</v>
      </c>
      <c r="F163" t="s">
        <v>101</v>
      </c>
      <c r="G163">
        <v>6</v>
      </c>
      <c r="H163" t="s">
        <v>23</v>
      </c>
      <c r="I163">
        <v>274</v>
      </c>
      <c r="J163" s="3">
        <v>52.698145025295105</v>
      </c>
      <c r="K163" s="3">
        <v>37.071388420460934</v>
      </c>
      <c r="L163" s="3">
        <v>68.105816783106988</v>
      </c>
      <c r="M163" s="3">
        <v>23.278907292566139</v>
      </c>
      <c r="N163">
        <v>0</v>
      </c>
      <c r="O163">
        <v>7.7058999999999997</v>
      </c>
      <c r="P163">
        <v>0.28420000000000001</v>
      </c>
      <c r="Q163">
        <v>0.99</v>
      </c>
      <c r="R163">
        <v>115.85</v>
      </c>
      <c r="S163">
        <f>R163/Q163</f>
        <v>117.02020202020202</v>
      </c>
      <c r="T163" t="s">
        <v>281</v>
      </c>
      <c r="U163">
        <v>36.170134952273003</v>
      </c>
      <c r="V163">
        <v>0</v>
      </c>
      <c r="W163">
        <v>7</v>
      </c>
      <c r="X163">
        <v>1.0811033454547601</v>
      </c>
      <c r="Y163" t="s">
        <v>281</v>
      </c>
      <c r="Z163">
        <v>67.439564056614103</v>
      </c>
      <c r="AA163">
        <v>26.5076984968731</v>
      </c>
      <c r="AB163">
        <v>1.97125406868303</v>
      </c>
      <c r="AC163">
        <v>0</v>
      </c>
      <c r="AD163">
        <v>2.65150129832133</v>
      </c>
      <c r="AE163">
        <v>0</v>
      </c>
      <c r="AF163">
        <v>0</v>
      </c>
    </row>
    <row r="164" spans="1:32" x14ac:dyDescent="0.25">
      <c r="A164" t="str">
        <f>_xlfn.TEXTJOIN("_",TRUE,C164,D164,B164,G164)</f>
        <v>TPAC_IPM_2018_1</v>
      </c>
      <c r="B164">
        <v>2018</v>
      </c>
      <c r="C164" t="s">
        <v>12</v>
      </c>
      <c r="D164" t="s">
        <v>10</v>
      </c>
      <c r="E164" t="str">
        <f>_xlfn.TEXTJOIN("_",TRUE,C164:D164)</f>
        <v>TPAC_IPM</v>
      </c>
      <c r="F164" t="s">
        <v>42</v>
      </c>
      <c r="G164">
        <v>1</v>
      </c>
      <c r="H164" t="s">
        <v>24</v>
      </c>
      <c r="I164">
        <v>175</v>
      </c>
      <c r="J164" s="3">
        <v>63.147522522522522</v>
      </c>
      <c r="K164" s="3">
        <v>26.041666666666668</v>
      </c>
      <c r="L164" s="3">
        <v>74.042038986230807</v>
      </c>
      <c r="M164" s="3">
        <v>19.070181575349</v>
      </c>
      <c r="N164">
        <v>0</v>
      </c>
      <c r="O164">
        <v>0</v>
      </c>
      <c r="P164">
        <v>0</v>
      </c>
      <c r="Q164">
        <v>1.02</v>
      </c>
      <c r="R164">
        <v>58.42</v>
      </c>
      <c r="S164">
        <f>R164/Q164</f>
        <v>57.274509803921568</v>
      </c>
      <c r="T164" t="s">
        <v>282</v>
      </c>
      <c r="U164">
        <v>38.1938418966771</v>
      </c>
      <c r="V164">
        <v>0</v>
      </c>
      <c r="W164">
        <v>8</v>
      </c>
      <c r="X164">
        <v>1.44827719550669</v>
      </c>
      <c r="Y164" t="s">
        <v>282</v>
      </c>
      <c r="Z164">
        <v>40.346598503857599</v>
      </c>
      <c r="AA164">
        <v>4.4227657528785498</v>
      </c>
      <c r="AB164">
        <v>0</v>
      </c>
      <c r="AC164">
        <v>9.2090143751612192</v>
      </c>
      <c r="AD164">
        <v>45.350936847782798</v>
      </c>
      <c r="AE164">
        <v>0</v>
      </c>
      <c r="AF164">
        <v>0</v>
      </c>
    </row>
    <row r="165" spans="1:32" x14ac:dyDescent="0.25">
      <c r="A165" t="str">
        <f>_xlfn.TEXTJOIN("_",TRUE,C165,D165,B165,G165)</f>
        <v>TPAC_IPM_2018_2</v>
      </c>
      <c r="B165">
        <v>2018</v>
      </c>
      <c r="C165" t="s">
        <v>12</v>
      </c>
      <c r="D165" t="s">
        <v>10</v>
      </c>
      <c r="E165" t="str">
        <f>_xlfn.TEXTJOIN("_",TRUE,C165:D165)</f>
        <v>TPAC_IPM</v>
      </c>
      <c r="F165" t="s">
        <v>43</v>
      </c>
      <c r="G165">
        <v>2</v>
      </c>
      <c r="H165" t="s">
        <v>19</v>
      </c>
      <c r="I165">
        <v>193</v>
      </c>
      <c r="J165" s="3">
        <v>63.147522522522522</v>
      </c>
      <c r="K165" s="3">
        <v>26.041666666666668</v>
      </c>
      <c r="L165" s="3">
        <v>74.042038986230807</v>
      </c>
      <c r="M165" s="3">
        <v>19.070181575349</v>
      </c>
      <c r="N165">
        <v>0</v>
      </c>
      <c r="O165">
        <v>0</v>
      </c>
      <c r="P165">
        <v>0.54720000000000002</v>
      </c>
      <c r="Q165">
        <v>1.03</v>
      </c>
      <c r="R165">
        <v>120.47</v>
      </c>
      <c r="S165">
        <f>R165/Q165</f>
        <v>116.96116504854369</v>
      </c>
      <c r="T165" t="s">
        <v>283</v>
      </c>
      <c r="U165">
        <v>42.365048935526197</v>
      </c>
      <c r="V165">
        <v>1.0352133992533501</v>
      </c>
      <c r="W165">
        <v>6</v>
      </c>
      <c r="X165">
        <v>1.02085713625348</v>
      </c>
      <c r="Y165" t="s">
        <v>283</v>
      </c>
      <c r="Z165">
        <v>42.9038442135002</v>
      </c>
      <c r="AA165">
        <v>1.6264756331349</v>
      </c>
      <c r="AB165">
        <v>0</v>
      </c>
      <c r="AC165">
        <v>0</v>
      </c>
      <c r="AD165">
        <v>55.055998385632101</v>
      </c>
      <c r="AE165">
        <v>0</v>
      </c>
      <c r="AF165">
        <v>0</v>
      </c>
    </row>
    <row r="166" spans="1:32" x14ac:dyDescent="0.25">
      <c r="A166" t="str">
        <f>_xlfn.TEXTJOIN("_",TRUE,C166,D166,B166,G166)</f>
        <v>TPAC_IPM_2018_3</v>
      </c>
      <c r="B166">
        <v>2018</v>
      </c>
      <c r="C166" t="s">
        <v>12</v>
      </c>
      <c r="D166" t="s">
        <v>10</v>
      </c>
      <c r="E166" t="str">
        <f>_xlfn.TEXTJOIN("_",TRUE,C166:D166)</f>
        <v>TPAC_IPM</v>
      </c>
      <c r="F166" t="s">
        <v>44</v>
      </c>
      <c r="G166">
        <v>3</v>
      </c>
      <c r="H166" t="s">
        <v>20</v>
      </c>
      <c r="I166">
        <v>208</v>
      </c>
      <c r="J166" s="3">
        <v>63.147522522522522</v>
      </c>
      <c r="K166" s="3">
        <v>26.041666666666668</v>
      </c>
      <c r="L166" s="3">
        <v>74.042038986230807</v>
      </c>
      <c r="M166" s="3">
        <v>19.070181575349</v>
      </c>
      <c r="N166">
        <v>0</v>
      </c>
      <c r="O166">
        <v>0</v>
      </c>
      <c r="P166">
        <v>0</v>
      </c>
      <c r="Q166">
        <v>1.04</v>
      </c>
      <c r="R166">
        <v>73.61</v>
      </c>
      <c r="S166">
        <f>R166/Q166</f>
        <v>70.778846153846146</v>
      </c>
      <c r="T166" t="s">
        <v>284</v>
      </c>
      <c r="U166">
        <v>39.0452779319642</v>
      </c>
      <c r="V166">
        <v>8.3049189860703603</v>
      </c>
      <c r="W166">
        <v>8</v>
      </c>
      <c r="X166">
        <v>1.44056801367787</v>
      </c>
      <c r="Y166" t="s">
        <v>284</v>
      </c>
      <c r="Z166">
        <v>42.4444268231438</v>
      </c>
      <c r="AA166">
        <v>8.3049189860703603</v>
      </c>
      <c r="AB166">
        <v>42.1880368990035</v>
      </c>
      <c r="AC166">
        <v>4.91898607036185</v>
      </c>
      <c r="AD166">
        <v>0</v>
      </c>
      <c r="AE166">
        <v>0</v>
      </c>
      <c r="AF166">
        <v>0</v>
      </c>
    </row>
    <row r="167" spans="1:32" x14ac:dyDescent="0.25">
      <c r="A167" t="str">
        <f>_xlfn.TEXTJOIN("_",TRUE,C167,D167,B167,G167)</f>
        <v>TPAC_IPM_2018_4</v>
      </c>
      <c r="B167">
        <v>2018</v>
      </c>
      <c r="C167" t="s">
        <v>12</v>
      </c>
      <c r="D167" t="s">
        <v>10</v>
      </c>
      <c r="E167" t="str">
        <f>_xlfn.TEXTJOIN("_",TRUE,C167:D167)</f>
        <v>TPAC_IPM</v>
      </c>
      <c r="F167" t="s">
        <v>45</v>
      </c>
      <c r="G167">
        <v>4</v>
      </c>
      <c r="H167" t="s">
        <v>21</v>
      </c>
      <c r="I167">
        <v>221</v>
      </c>
      <c r="J167" s="3">
        <v>63.147522522522522</v>
      </c>
      <c r="K167" s="3">
        <v>26.041666666666668</v>
      </c>
      <c r="L167" s="3">
        <v>74.042038986230807</v>
      </c>
      <c r="M167" s="3">
        <v>19.070181575349</v>
      </c>
      <c r="N167">
        <v>0</v>
      </c>
      <c r="O167">
        <v>0</v>
      </c>
      <c r="P167">
        <v>0</v>
      </c>
      <c r="Q167">
        <v>1.03</v>
      </c>
      <c r="R167">
        <v>138.21</v>
      </c>
      <c r="S167">
        <f>R167/Q167</f>
        <v>134.18446601941747</v>
      </c>
      <c r="T167" t="s">
        <v>285</v>
      </c>
      <c r="U167">
        <v>18.806922793666399</v>
      </c>
      <c r="V167">
        <v>17.608935804590601</v>
      </c>
      <c r="W167">
        <v>6</v>
      </c>
      <c r="X167">
        <v>1.49235960307513</v>
      </c>
      <c r="Y167" t="s">
        <v>285</v>
      </c>
      <c r="Z167">
        <v>46.655210506935099</v>
      </c>
      <c r="AA167">
        <v>17.608935804590601</v>
      </c>
      <c r="AB167">
        <v>33.494537866699403</v>
      </c>
      <c r="AC167">
        <v>0.69964404075119702</v>
      </c>
      <c r="AD167">
        <v>0</v>
      </c>
      <c r="AE167">
        <v>0</v>
      </c>
      <c r="AF167">
        <v>0</v>
      </c>
    </row>
    <row r="168" spans="1:32" x14ac:dyDescent="0.25">
      <c r="A168" t="str">
        <f>_xlfn.TEXTJOIN("_",TRUE,C168,D168,B168,G168)</f>
        <v>TPAC_IPM_2018_5</v>
      </c>
      <c r="B168">
        <v>2018</v>
      </c>
      <c r="C168" t="s">
        <v>12</v>
      </c>
      <c r="D168" t="s">
        <v>10</v>
      </c>
      <c r="E168" t="str">
        <f>_xlfn.TEXTJOIN("_",TRUE,C168:D168)</f>
        <v>TPAC_IPM</v>
      </c>
      <c r="F168" t="s">
        <v>46</v>
      </c>
      <c r="G168">
        <v>5</v>
      </c>
      <c r="H168" t="s">
        <v>22</v>
      </c>
      <c r="I168">
        <v>233</v>
      </c>
      <c r="J168" s="3">
        <v>63.147522522522522</v>
      </c>
      <c r="K168" s="3">
        <v>26.041666666666668</v>
      </c>
      <c r="L168" s="3">
        <v>74.042038986230807</v>
      </c>
      <c r="M168" s="3">
        <v>19.070181575349</v>
      </c>
      <c r="N168">
        <v>0</v>
      </c>
      <c r="O168">
        <v>0</v>
      </c>
      <c r="P168">
        <v>0</v>
      </c>
      <c r="Q168">
        <v>1.04</v>
      </c>
      <c r="R168">
        <v>53.2</v>
      </c>
      <c r="S168">
        <f>R168/Q168</f>
        <v>51.153846153846153</v>
      </c>
      <c r="T168" t="s">
        <v>286</v>
      </c>
      <c r="U168">
        <v>18.2913177808624</v>
      </c>
      <c r="V168">
        <v>13.8002059732235</v>
      </c>
      <c r="W168">
        <v>8</v>
      </c>
      <c r="X168">
        <v>1.3757926092114801</v>
      </c>
      <c r="Y168" t="s">
        <v>286</v>
      </c>
      <c r="Z168">
        <v>18.2913177808624</v>
      </c>
      <c r="AA168">
        <v>13.8002059732235</v>
      </c>
      <c r="AB168">
        <v>22.683920655532201</v>
      </c>
      <c r="AC168">
        <v>0.53060493440200596</v>
      </c>
      <c r="AD168">
        <v>41.787937133390102</v>
      </c>
      <c r="AE168">
        <v>0</v>
      </c>
      <c r="AF168">
        <v>0</v>
      </c>
    </row>
    <row r="169" spans="1:32" x14ac:dyDescent="0.25">
      <c r="A169" t="str">
        <f>_xlfn.TEXTJOIN("_",TRUE,C169,D169,B169,G169)</f>
        <v>TPAC_IPM_2018_6</v>
      </c>
      <c r="B169">
        <v>2018</v>
      </c>
      <c r="C169" t="s">
        <v>12</v>
      </c>
      <c r="D169" t="s">
        <v>10</v>
      </c>
      <c r="E169" t="str">
        <f>_xlfn.TEXTJOIN("_",TRUE,C169:D169)</f>
        <v>TPAC_IPM</v>
      </c>
      <c r="F169" t="s">
        <v>47</v>
      </c>
      <c r="G169">
        <v>6</v>
      </c>
      <c r="H169" t="s">
        <v>23</v>
      </c>
      <c r="I169">
        <v>247</v>
      </c>
      <c r="J169" s="3">
        <v>63.147522522522522</v>
      </c>
      <c r="K169" s="3">
        <v>26.041666666666668</v>
      </c>
      <c r="L169" s="3">
        <v>74.042038986230807</v>
      </c>
      <c r="M169" s="3">
        <v>19.070181575349</v>
      </c>
      <c r="N169">
        <v>0</v>
      </c>
      <c r="O169">
        <v>0</v>
      </c>
      <c r="P169">
        <v>0</v>
      </c>
      <c r="Q169">
        <v>1.02</v>
      </c>
      <c r="R169">
        <v>42.72</v>
      </c>
      <c r="S169">
        <f>R169/Q169</f>
        <v>41.882352941176471</v>
      </c>
      <c r="T169" t="s">
        <v>287</v>
      </c>
      <c r="U169">
        <v>21.824514215762299</v>
      </c>
      <c r="V169">
        <v>37.131674684046303</v>
      </c>
      <c r="W169">
        <v>4</v>
      </c>
      <c r="X169">
        <v>0.80221148853485902</v>
      </c>
      <c r="Y169" t="s">
        <v>287</v>
      </c>
      <c r="Z169">
        <v>61.287263573509897</v>
      </c>
      <c r="AA169">
        <v>37.131674684046303</v>
      </c>
      <c r="AB169">
        <v>0</v>
      </c>
      <c r="AC169">
        <v>1.2379523784892801</v>
      </c>
      <c r="AD169">
        <v>0</v>
      </c>
      <c r="AE169">
        <v>0</v>
      </c>
      <c r="AF169">
        <v>0</v>
      </c>
    </row>
    <row r="170" spans="1:32" x14ac:dyDescent="0.25">
      <c r="A170" t="str">
        <f>_xlfn.TEXTJOIN("_",TRUE,C170,D170,B170,G170)</f>
        <v>TPAC_IPM_2019_1</v>
      </c>
      <c r="B170">
        <v>2019</v>
      </c>
      <c r="C170" t="s">
        <v>12</v>
      </c>
      <c r="D170" t="s">
        <v>10</v>
      </c>
      <c r="E170" t="str">
        <f>_xlfn.TEXTJOIN("_",TRUE,C170:D170)</f>
        <v>TPAC_IPM</v>
      </c>
      <c r="F170" t="s">
        <v>64</v>
      </c>
      <c r="G170">
        <v>1</v>
      </c>
      <c r="H170" t="s">
        <v>24</v>
      </c>
      <c r="I170">
        <v>177</v>
      </c>
      <c r="J170" s="3">
        <v>63.147522522522522</v>
      </c>
      <c r="K170" s="3">
        <v>26.041666666666668</v>
      </c>
      <c r="L170" s="3">
        <v>74.042038986230807</v>
      </c>
      <c r="M170" s="3">
        <v>19.070181575349</v>
      </c>
      <c r="N170">
        <v>0</v>
      </c>
      <c r="O170">
        <v>0</v>
      </c>
      <c r="P170">
        <v>0</v>
      </c>
      <c r="Q170">
        <v>0.97</v>
      </c>
      <c r="R170">
        <v>65.36</v>
      </c>
      <c r="S170">
        <f>R170/Q170</f>
        <v>67.381443298969074</v>
      </c>
      <c r="T170" t="s">
        <v>288</v>
      </c>
      <c r="U170">
        <v>19.679735210479699</v>
      </c>
      <c r="V170">
        <v>16.6146100414899</v>
      </c>
      <c r="W170">
        <v>8</v>
      </c>
      <c r="X170">
        <v>1.7282418189064599</v>
      </c>
      <c r="Y170" t="s">
        <v>288</v>
      </c>
      <c r="Z170">
        <v>40.033098690037797</v>
      </c>
      <c r="AA170">
        <v>16.6146100414899</v>
      </c>
      <c r="AB170">
        <v>0</v>
      </c>
      <c r="AC170">
        <v>23.845042189175299</v>
      </c>
      <c r="AD170">
        <v>16.9782294531723</v>
      </c>
      <c r="AE170">
        <v>0</v>
      </c>
      <c r="AF170">
        <v>0</v>
      </c>
    </row>
    <row r="171" spans="1:32" x14ac:dyDescent="0.25">
      <c r="A171" t="str">
        <f>_xlfn.TEXTJOIN("_",TRUE,C171,D171,B171,G171)</f>
        <v>TPAC_IPM_2019_2</v>
      </c>
      <c r="B171">
        <v>2019</v>
      </c>
      <c r="C171" t="s">
        <v>12</v>
      </c>
      <c r="D171" t="s">
        <v>10</v>
      </c>
      <c r="E171" t="str">
        <f>_xlfn.TEXTJOIN("_",TRUE,C171:D171)</f>
        <v>TPAC_IPM</v>
      </c>
      <c r="F171" t="s">
        <v>65</v>
      </c>
      <c r="G171">
        <v>2</v>
      </c>
      <c r="H171" t="s">
        <v>19</v>
      </c>
      <c r="I171">
        <v>190</v>
      </c>
      <c r="J171" s="3">
        <v>63.147522522522522</v>
      </c>
      <c r="K171" s="3">
        <v>26.041666666666668</v>
      </c>
      <c r="L171" s="3">
        <v>74.042038986230807</v>
      </c>
      <c r="M171" s="3">
        <v>19.070181575349</v>
      </c>
      <c r="N171">
        <v>0</v>
      </c>
      <c r="O171">
        <v>0</v>
      </c>
      <c r="P171">
        <v>0</v>
      </c>
      <c r="Q171">
        <v>1.04</v>
      </c>
      <c r="R171">
        <v>84.63</v>
      </c>
      <c r="S171">
        <f>R171/Q171</f>
        <v>81.374999999999986</v>
      </c>
      <c r="T171" t="s">
        <v>289</v>
      </c>
      <c r="U171">
        <v>37.710513908533699</v>
      </c>
      <c r="V171">
        <v>2.4893917963224901</v>
      </c>
      <c r="W171">
        <v>9</v>
      </c>
      <c r="X171">
        <v>1.5493661296574901</v>
      </c>
      <c r="Y171" t="s">
        <v>289</v>
      </c>
      <c r="Z171">
        <v>39.866100895803903</v>
      </c>
      <c r="AA171">
        <v>6.4007543611504003</v>
      </c>
      <c r="AB171">
        <v>0</v>
      </c>
      <c r="AC171">
        <v>6.5685997171145702</v>
      </c>
      <c r="AD171">
        <v>46.740216878830701</v>
      </c>
      <c r="AE171">
        <v>0</v>
      </c>
      <c r="AF171">
        <v>0</v>
      </c>
    </row>
    <row r="172" spans="1:32" x14ac:dyDescent="0.25">
      <c r="A172" t="str">
        <f>_xlfn.TEXTJOIN("_",TRUE,C172,D172,B172,G172)</f>
        <v>TPAC_IPM_2019_3</v>
      </c>
      <c r="B172">
        <v>2019</v>
      </c>
      <c r="C172" t="s">
        <v>12</v>
      </c>
      <c r="D172" t="s">
        <v>10</v>
      </c>
      <c r="E172" t="str">
        <f>_xlfn.TEXTJOIN("_",TRUE,C172:D172)</f>
        <v>TPAC_IPM</v>
      </c>
      <c r="F172" t="s">
        <v>69</v>
      </c>
      <c r="G172">
        <v>3</v>
      </c>
      <c r="H172" t="s">
        <v>20</v>
      </c>
      <c r="I172">
        <v>205</v>
      </c>
      <c r="J172" s="3">
        <v>63.147522522522522</v>
      </c>
      <c r="K172" s="3">
        <v>26.041666666666668</v>
      </c>
      <c r="L172" s="3">
        <v>74.042038986230807</v>
      </c>
      <c r="M172" s="3">
        <v>19.070181575349</v>
      </c>
      <c r="N172">
        <v>0</v>
      </c>
      <c r="O172">
        <v>0</v>
      </c>
      <c r="P172">
        <v>0</v>
      </c>
      <c r="Q172">
        <v>1.02</v>
      </c>
      <c r="R172">
        <v>58.35</v>
      </c>
      <c r="S172">
        <f>R172/Q172</f>
        <v>57.205882352941174</v>
      </c>
      <c r="T172" t="s">
        <v>290</v>
      </c>
      <c r="U172">
        <v>36.627169201865598</v>
      </c>
      <c r="V172">
        <v>7.27269730878887</v>
      </c>
      <c r="W172">
        <v>7</v>
      </c>
      <c r="X172">
        <v>1.35412611094246</v>
      </c>
      <c r="Y172" t="s">
        <v>290</v>
      </c>
      <c r="Z172">
        <v>38.858583694523603</v>
      </c>
      <c r="AA172">
        <v>10.705515911600401</v>
      </c>
      <c r="AB172">
        <v>0</v>
      </c>
      <c r="AC172">
        <v>0</v>
      </c>
      <c r="AD172">
        <v>49.967863676065903</v>
      </c>
      <c r="AE172">
        <v>0</v>
      </c>
      <c r="AF172">
        <v>0</v>
      </c>
    </row>
    <row r="173" spans="1:32" x14ac:dyDescent="0.25">
      <c r="A173" t="str">
        <f>_xlfn.TEXTJOIN("_",TRUE,C173,D173,B173,G173)</f>
        <v>TPAC_IPM_2019_4</v>
      </c>
      <c r="B173">
        <v>2019</v>
      </c>
      <c r="C173" t="s">
        <v>12</v>
      </c>
      <c r="D173" t="s">
        <v>10</v>
      </c>
      <c r="E173" t="str">
        <f>_xlfn.TEXTJOIN("_",TRUE,C173:D173)</f>
        <v>TPAC_IPM</v>
      </c>
      <c r="F173" t="s">
        <v>70</v>
      </c>
      <c r="G173">
        <v>4</v>
      </c>
      <c r="H173" t="s">
        <v>21</v>
      </c>
      <c r="I173">
        <v>218</v>
      </c>
      <c r="J173" s="3">
        <v>63.147522522522522</v>
      </c>
      <c r="K173" s="3">
        <v>26.041666666666668</v>
      </c>
      <c r="L173" s="3">
        <v>74.042038986230807</v>
      </c>
      <c r="M173" s="3">
        <v>19.070181575349</v>
      </c>
      <c r="N173">
        <v>0</v>
      </c>
      <c r="O173">
        <v>0</v>
      </c>
      <c r="P173">
        <v>0</v>
      </c>
      <c r="Q173">
        <v>1.02</v>
      </c>
      <c r="R173">
        <v>67.14</v>
      </c>
      <c r="S173">
        <f>R173/Q173</f>
        <v>65.82352941176471</v>
      </c>
      <c r="T173" t="s">
        <v>291</v>
      </c>
      <c r="U173">
        <v>23.159051656460999</v>
      </c>
      <c r="V173">
        <v>10.115402731983</v>
      </c>
      <c r="W173">
        <v>16</v>
      </c>
      <c r="X173">
        <v>2.3365257545911899</v>
      </c>
      <c r="Y173" t="s">
        <v>291</v>
      </c>
      <c r="Z173">
        <v>39.645156225467097</v>
      </c>
      <c r="AA173">
        <v>18.413408698382799</v>
      </c>
      <c r="AB173">
        <v>28.360025121683201</v>
      </c>
      <c r="AC173">
        <v>1.2717852096090401</v>
      </c>
      <c r="AD173">
        <v>14.7118856963417</v>
      </c>
      <c r="AE173">
        <v>7.0733239127021497</v>
      </c>
      <c r="AF173">
        <v>0</v>
      </c>
    </row>
    <row r="174" spans="1:32" x14ac:dyDescent="0.25">
      <c r="A174" t="str">
        <f>_xlfn.TEXTJOIN("_",TRUE,C174,D174,B174,G174)</f>
        <v>TPAC_IPM_2019_5</v>
      </c>
      <c r="B174">
        <v>2019</v>
      </c>
      <c r="C174" t="s">
        <v>12</v>
      </c>
      <c r="D174" t="s">
        <v>10</v>
      </c>
      <c r="E174" t="str">
        <f>_xlfn.TEXTJOIN("_",TRUE,C174:D174)</f>
        <v>TPAC_IPM</v>
      </c>
      <c r="F174" t="s">
        <v>71</v>
      </c>
      <c r="G174">
        <v>5</v>
      </c>
      <c r="H174" t="s">
        <v>22</v>
      </c>
      <c r="I174">
        <v>233</v>
      </c>
      <c r="J174" s="3">
        <v>63.147522522522522</v>
      </c>
      <c r="K174" s="3">
        <v>26.041666666666668</v>
      </c>
      <c r="L174" s="3">
        <v>74.042038986230807</v>
      </c>
      <c r="M174" s="3">
        <v>19.070181575349</v>
      </c>
      <c r="N174">
        <v>0</v>
      </c>
      <c r="O174">
        <v>10.1045</v>
      </c>
      <c r="P174">
        <v>0</v>
      </c>
      <c r="Q174">
        <v>1.04</v>
      </c>
      <c r="R174">
        <v>92.48</v>
      </c>
      <c r="S174">
        <f>R174/Q174</f>
        <v>88.92307692307692</v>
      </c>
      <c r="T174" t="s">
        <v>292</v>
      </c>
      <c r="U174">
        <v>16.236360842170001</v>
      </c>
      <c r="V174">
        <v>15.5563239588136</v>
      </c>
      <c r="W174">
        <v>11</v>
      </c>
      <c r="X174">
        <v>1.98463512923991</v>
      </c>
      <c r="Y174" t="s">
        <v>292</v>
      </c>
      <c r="Z174">
        <v>43.303365606270198</v>
      </c>
      <c r="AA174">
        <v>23.789764868603001</v>
      </c>
      <c r="AB174">
        <v>20.535577070846799</v>
      </c>
      <c r="AC174">
        <v>0</v>
      </c>
      <c r="AD174">
        <v>7.1346242508068203</v>
      </c>
      <c r="AE174">
        <v>2.7700937451974799</v>
      </c>
      <c r="AF174">
        <v>0</v>
      </c>
    </row>
    <row r="175" spans="1:32" x14ac:dyDescent="0.25">
      <c r="A175" t="str">
        <f>_xlfn.TEXTJOIN("_",TRUE,C175,D175,B175,G175)</f>
        <v>TPAC_IPM_2019_6</v>
      </c>
      <c r="B175">
        <v>2019</v>
      </c>
      <c r="C175" t="s">
        <v>12</v>
      </c>
      <c r="D175" t="s">
        <v>10</v>
      </c>
      <c r="E175" t="str">
        <f>_xlfn.TEXTJOIN("_",TRUE,C175:D175)</f>
        <v>TPAC_IPM</v>
      </c>
      <c r="F175" t="s">
        <v>68</v>
      </c>
      <c r="G175">
        <v>6</v>
      </c>
      <c r="H175" t="s">
        <v>23</v>
      </c>
      <c r="I175">
        <v>247</v>
      </c>
      <c r="J175" s="3">
        <v>63.147522522522522</v>
      </c>
      <c r="K175" s="3">
        <v>26.041666666666668</v>
      </c>
      <c r="L175" s="3">
        <v>74.042038986230807</v>
      </c>
      <c r="M175" s="3">
        <v>19.070181575349</v>
      </c>
      <c r="N175">
        <v>0</v>
      </c>
      <c r="O175">
        <v>0</v>
      </c>
      <c r="P175">
        <v>0</v>
      </c>
      <c r="Q175">
        <v>1.02</v>
      </c>
      <c r="R175">
        <v>75.03</v>
      </c>
      <c r="S175">
        <f>R175/Q175</f>
        <v>73.558823529411768</v>
      </c>
      <c r="T175" t="s">
        <v>293</v>
      </c>
      <c r="U175">
        <v>21.432054976723599</v>
      </c>
      <c r="V175">
        <v>3.6266903125692802</v>
      </c>
      <c r="W175">
        <v>12</v>
      </c>
      <c r="X175">
        <v>1.7311069304392701</v>
      </c>
      <c r="Y175" t="s">
        <v>293</v>
      </c>
      <c r="Z175">
        <v>30.1507426291288</v>
      </c>
      <c r="AA175">
        <v>9.0223897140323608</v>
      </c>
      <c r="AB175">
        <v>10.454444690755899</v>
      </c>
      <c r="AC175">
        <v>1.3212148082465101</v>
      </c>
      <c r="AD175">
        <v>3.3096874307248898</v>
      </c>
      <c r="AE175">
        <v>45.448902682332097</v>
      </c>
      <c r="AF175">
        <v>0</v>
      </c>
    </row>
    <row r="176" spans="1:32" x14ac:dyDescent="0.25">
      <c r="A176" t="str">
        <f>_xlfn.TEXTJOIN("_",TRUE,C176,D176,B176,G176)</f>
        <v>TPAC_IPM_2020_1</v>
      </c>
      <c r="B176">
        <v>2020</v>
      </c>
      <c r="C176" t="s">
        <v>12</v>
      </c>
      <c r="D176" t="s">
        <v>10</v>
      </c>
      <c r="E176" t="str">
        <f>_xlfn.TEXTJOIN("_",TRUE,C176:D176)</f>
        <v>TPAC_IPM</v>
      </c>
      <c r="F176" t="s">
        <v>96</v>
      </c>
      <c r="G176">
        <v>1</v>
      </c>
      <c r="H176" t="s">
        <v>24</v>
      </c>
      <c r="I176">
        <v>174</v>
      </c>
      <c r="J176" s="3">
        <v>63.147522522522522</v>
      </c>
      <c r="K176" s="3">
        <v>26.041666666666668</v>
      </c>
      <c r="L176" s="3">
        <v>74.042038986230807</v>
      </c>
      <c r="M176" s="3">
        <v>19.070181575349</v>
      </c>
      <c r="N176">
        <v>0</v>
      </c>
      <c r="O176">
        <v>0</v>
      </c>
      <c r="P176">
        <v>0</v>
      </c>
      <c r="Q176">
        <v>1.01</v>
      </c>
      <c r="R176">
        <v>71.28</v>
      </c>
      <c r="S176">
        <f>R176/Q176</f>
        <v>70.574257425742573</v>
      </c>
      <c r="T176" t="s">
        <v>294</v>
      </c>
      <c r="U176">
        <v>4.8499025341130597</v>
      </c>
      <c r="V176">
        <v>0</v>
      </c>
      <c r="W176">
        <v>6</v>
      </c>
      <c r="X176">
        <v>0.84878382693982801</v>
      </c>
      <c r="Y176" t="s">
        <v>294</v>
      </c>
      <c r="Z176">
        <v>94.729044834307999</v>
      </c>
      <c r="AA176">
        <v>0</v>
      </c>
      <c r="AB176">
        <v>0.730344379467186</v>
      </c>
      <c r="AC176">
        <v>2.7134502923976598</v>
      </c>
      <c r="AD176">
        <v>0.65756985055230699</v>
      </c>
      <c r="AE176">
        <v>0</v>
      </c>
      <c r="AF176">
        <v>0</v>
      </c>
    </row>
    <row r="177" spans="1:32" x14ac:dyDescent="0.25">
      <c r="A177" t="str">
        <f>_xlfn.TEXTJOIN("_",TRUE,C177,D177,B177,G177)</f>
        <v>TPAC_IPM_2020_2</v>
      </c>
      <c r="B177">
        <v>2020</v>
      </c>
      <c r="C177" t="s">
        <v>12</v>
      </c>
      <c r="D177" t="s">
        <v>10</v>
      </c>
      <c r="E177" t="str">
        <f>_xlfn.TEXTJOIN("_",TRUE,C177:D177)</f>
        <v>TPAC_IPM</v>
      </c>
      <c r="F177" t="s">
        <v>97</v>
      </c>
      <c r="G177">
        <v>2</v>
      </c>
      <c r="H177" t="s">
        <v>19</v>
      </c>
      <c r="I177">
        <v>188</v>
      </c>
      <c r="J177" s="3">
        <v>63.147522522522522</v>
      </c>
      <c r="K177" s="3">
        <v>26.041666666666668</v>
      </c>
      <c r="L177" s="3">
        <v>74.042038986230807</v>
      </c>
      <c r="M177" s="3">
        <v>19.070181575349</v>
      </c>
      <c r="N177">
        <v>0</v>
      </c>
      <c r="O177">
        <v>0</v>
      </c>
      <c r="P177">
        <v>0.46610000000000001</v>
      </c>
      <c r="Q177">
        <v>1.02</v>
      </c>
      <c r="R177">
        <v>82.59</v>
      </c>
      <c r="S177">
        <f>R177/Q177</f>
        <v>80.970588235294116</v>
      </c>
      <c r="T177" t="s">
        <v>295</v>
      </c>
      <c r="U177">
        <v>17.6387601273731</v>
      </c>
      <c r="V177">
        <v>11.3063807489218</v>
      </c>
      <c r="W177">
        <v>7</v>
      </c>
      <c r="X177">
        <v>1.6297706348440999</v>
      </c>
      <c r="Y177" t="s">
        <v>295</v>
      </c>
      <c r="Z177">
        <v>42.833245999435697</v>
      </c>
      <c r="AA177">
        <v>11.3063807489218</v>
      </c>
      <c r="AB177">
        <v>0</v>
      </c>
      <c r="AC177">
        <v>0.56229594098915703</v>
      </c>
      <c r="AD177">
        <v>43.947760893224199</v>
      </c>
      <c r="AE177">
        <v>0</v>
      </c>
      <c r="AF177">
        <v>0</v>
      </c>
    </row>
    <row r="178" spans="1:32" x14ac:dyDescent="0.25">
      <c r="A178" t="str">
        <f>_xlfn.TEXTJOIN("_",TRUE,C178,D178,B178,G178)</f>
        <v>TPAC_IPM_2020_3</v>
      </c>
      <c r="B178">
        <v>2020</v>
      </c>
      <c r="C178" t="s">
        <v>12</v>
      </c>
      <c r="D178" t="s">
        <v>10</v>
      </c>
      <c r="E178" t="str">
        <f>_xlfn.TEXTJOIN("_",TRUE,C178:D178)</f>
        <v>TPAC_IPM</v>
      </c>
      <c r="F178" t="s">
        <v>98</v>
      </c>
      <c r="G178">
        <v>3</v>
      </c>
      <c r="H178" t="s">
        <v>20</v>
      </c>
      <c r="I178">
        <v>203</v>
      </c>
      <c r="J178" s="3">
        <v>63.147522522522522</v>
      </c>
      <c r="K178" s="3">
        <v>26.041666666666668</v>
      </c>
      <c r="L178" s="3">
        <v>74.042038986230807</v>
      </c>
      <c r="M178" s="3">
        <v>19.070181575349</v>
      </c>
      <c r="N178">
        <v>0</v>
      </c>
      <c r="O178">
        <v>4.7526999999999999</v>
      </c>
      <c r="P178">
        <v>0</v>
      </c>
      <c r="Q178">
        <v>1.04</v>
      </c>
      <c r="R178">
        <v>164.32</v>
      </c>
      <c r="S178">
        <f>R178/Q178</f>
        <v>158</v>
      </c>
      <c r="T178" t="s">
        <v>296</v>
      </c>
      <c r="U178">
        <v>33.067451019492502</v>
      </c>
      <c r="V178">
        <v>11.3290792163119</v>
      </c>
      <c r="W178">
        <v>8</v>
      </c>
      <c r="X178">
        <v>1.48674140653082</v>
      </c>
      <c r="Y178" t="s">
        <v>296</v>
      </c>
      <c r="Z178">
        <v>61.902387955531204</v>
      </c>
      <c r="AA178">
        <v>11.3290792163119</v>
      </c>
      <c r="AB178">
        <v>24.6697243132758</v>
      </c>
      <c r="AC178">
        <v>0.54588962560446697</v>
      </c>
      <c r="AD178">
        <v>0.97213220998055705</v>
      </c>
      <c r="AE178">
        <v>0</v>
      </c>
      <c r="AF178">
        <v>0</v>
      </c>
    </row>
    <row r="179" spans="1:32" x14ac:dyDescent="0.25">
      <c r="A179" t="str">
        <f>_xlfn.TEXTJOIN("_",TRUE,C179,D179,B179,G179)</f>
        <v>TPAC_IPM_2020_4</v>
      </c>
      <c r="B179">
        <v>2020</v>
      </c>
      <c r="C179" t="s">
        <v>12</v>
      </c>
      <c r="D179" t="s">
        <v>10</v>
      </c>
      <c r="E179" t="str">
        <f>_xlfn.TEXTJOIN("_",TRUE,C179:D179)</f>
        <v>TPAC_IPM</v>
      </c>
      <c r="F179" t="s">
        <v>99</v>
      </c>
      <c r="G179">
        <v>4</v>
      </c>
      <c r="H179" t="s">
        <v>21</v>
      </c>
      <c r="I179">
        <v>218</v>
      </c>
      <c r="J179" s="3">
        <v>63.147522522522522</v>
      </c>
      <c r="K179" s="3">
        <v>26.041666666666668</v>
      </c>
      <c r="L179" s="3">
        <v>74.042038986230807</v>
      </c>
      <c r="M179" s="3">
        <v>19.070181575349</v>
      </c>
      <c r="N179">
        <v>0</v>
      </c>
      <c r="O179">
        <v>20.420300000000001</v>
      </c>
      <c r="P179">
        <v>0</v>
      </c>
      <c r="Q179">
        <v>1.01</v>
      </c>
      <c r="R179">
        <v>82.73</v>
      </c>
      <c r="S179">
        <f>R179/Q179</f>
        <v>81.910891089108915</v>
      </c>
      <c r="T179" t="s">
        <v>297</v>
      </c>
      <c r="U179">
        <v>29.627093182521101</v>
      </c>
      <c r="V179">
        <v>13.999469800733401</v>
      </c>
      <c r="W179">
        <v>13</v>
      </c>
      <c r="X179">
        <v>1.7408201232520899</v>
      </c>
      <c r="Y179" t="s">
        <v>297</v>
      </c>
      <c r="Z179">
        <v>41.594132461450101</v>
      </c>
      <c r="AA179">
        <v>13.999469800733401</v>
      </c>
      <c r="AB179">
        <v>2.0920779392921798</v>
      </c>
      <c r="AC179">
        <v>0.57659170238147806</v>
      </c>
      <c r="AD179">
        <v>40.692793708301998</v>
      </c>
      <c r="AE179">
        <v>0.50810763045111096</v>
      </c>
      <c r="AF179">
        <v>0</v>
      </c>
    </row>
    <row r="180" spans="1:32" x14ac:dyDescent="0.25">
      <c r="A180" t="str">
        <f>_xlfn.TEXTJOIN("_",TRUE,C180,D180,B180,G180)</f>
        <v>TPAC_IPM_2020_5</v>
      </c>
      <c r="B180">
        <v>2020</v>
      </c>
      <c r="C180" t="s">
        <v>12</v>
      </c>
      <c r="D180" t="s">
        <v>10</v>
      </c>
      <c r="E180" t="str">
        <f>_xlfn.TEXTJOIN("_",TRUE,C180:D180)</f>
        <v>TPAC_IPM</v>
      </c>
      <c r="F180" t="s">
        <v>100</v>
      </c>
      <c r="G180">
        <v>5</v>
      </c>
      <c r="H180" t="s">
        <v>22</v>
      </c>
      <c r="I180">
        <v>231</v>
      </c>
      <c r="J180" s="3">
        <v>63.147522522522522</v>
      </c>
      <c r="K180" s="3">
        <v>26.041666666666668</v>
      </c>
      <c r="L180" s="3">
        <v>74.042038986230807</v>
      </c>
      <c r="M180" s="3">
        <v>19.070181575349</v>
      </c>
      <c r="N180">
        <v>0</v>
      </c>
      <c r="O180">
        <v>3.8563000000000001</v>
      </c>
      <c r="P180">
        <v>0.1249</v>
      </c>
      <c r="Q180">
        <v>0.99</v>
      </c>
      <c r="R180">
        <v>162.27000000000001</v>
      </c>
      <c r="S180">
        <f>R180/Q180</f>
        <v>163.90909090909093</v>
      </c>
      <c r="T180" t="s">
        <v>298</v>
      </c>
      <c r="U180">
        <v>5.4651421576809698</v>
      </c>
      <c r="V180">
        <v>0</v>
      </c>
      <c r="W180">
        <v>6</v>
      </c>
      <c r="X180">
        <v>1.30532790645042</v>
      </c>
      <c r="Y180" t="s">
        <v>298</v>
      </c>
      <c r="Z180">
        <v>52.258943971512799</v>
      </c>
      <c r="AA180">
        <v>16.791854448339201</v>
      </c>
      <c r="AB180">
        <v>0</v>
      </c>
      <c r="AC180">
        <v>0</v>
      </c>
      <c r="AD180">
        <v>29.189617759973299</v>
      </c>
      <c r="AE180">
        <v>0.72052523229288401</v>
      </c>
      <c r="AF180">
        <v>0</v>
      </c>
    </row>
    <row r="181" spans="1:32" x14ac:dyDescent="0.25">
      <c r="A181" t="str">
        <f>_xlfn.TEXTJOIN("_",TRUE,C181,D181,B181,G181)</f>
        <v>TPAC_IPM_2020_6</v>
      </c>
      <c r="B181">
        <v>2020</v>
      </c>
      <c r="C181" t="s">
        <v>12</v>
      </c>
      <c r="D181" t="s">
        <v>10</v>
      </c>
      <c r="E181" t="str">
        <f>_xlfn.TEXTJOIN("_",TRUE,C181:D181)</f>
        <v>TPAC_IPM</v>
      </c>
      <c r="F181" t="s">
        <v>101</v>
      </c>
      <c r="G181">
        <v>6</v>
      </c>
      <c r="H181" t="s">
        <v>23</v>
      </c>
      <c r="I181">
        <v>274</v>
      </c>
      <c r="J181" s="3">
        <v>63.147522522522522</v>
      </c>
      <c r="K181" s="3">
        <v>26.041666666666668</v>
      </c>
      <c r="L181" s="3">
        <v>74.042038986230807</v>
      </c>
      <c r="M181" s="3">
        <v>19.070181575349</v>
      </c>
      <c r="N181">
        <v>0</v>
      </c>
      <c r="O181">
        <v>1.5128999999999999</v>
      </c>
      <c r="P181">
        <v>0</v>
      </c>
      <c r="Q181">
        <v>1.01</v>
      </c>
      <c r="R181">
        <v>93.44</v>
      </c>
      <c r="S181">
        <f>R181/Q181</f>
        <v>92.514851485148512</v>
      </c>
      <c r="T181" t="s">
        <v>299</v>
      </c>
      <c r="U181">
        <v>11.144723796934199</v>
      </c>
      <c r="V181">
        <v>0</v>
      </c>
      <c r="W181">
        <v>6</v>
      </c>
      <c r="X181">
        <v>1.31054980350398</v>
      </c>
      <c r="Y181" t="s">
        <v>299</v>
      </c>
      <c r="Z181">
        <v>54.940641126674599</v>
      </c>
      <c r="AA181">
        <v>22.0326918677072</v>
      </c>
      <c r="AB181">
        <v>7.7484302310801496</v>
      </c>
      <c r="AC181">
        <v>0</v>
      </c>
      <c r="AD181">
        <v>13.5012837786308</v>
      </c>
      <c r="AE181">
        <v>0</v>
      </c>
      <c r="AF181">
        <v>0</v>
      </c>
    </row>
  </sheetData>
  <autoFilter ref="A1:AF183" xr:uid="{82725DAB-2F80-43D3-90DD-FF71F437358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Eeraerts</dc:creator>
  <cp:lastModifiedBy>Maxime Eeraerts</cp:lastModifiedBy>
  <dcterms:created xsi:type="dcterms:W3CDTF">2025-12-12T10:03:18Z</dcterms:created>
  <dcterms:modified xsi:type="dcterms:W3CDTF">2026-01-20T09:58:04Z</dcterms:modified>
</cp:coreProperties>
</file>